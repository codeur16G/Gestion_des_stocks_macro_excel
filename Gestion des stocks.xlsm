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5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ULOLO\OneDrive\Bureau\Dashboard-excel\"/>
    </mc:Choice>
  </mc:AlternateContent>
  <xr:revisionPtr revIDLastSave="0" documentId="13_ncr:1_{BB941645-5606-4AD1-B808-01C7FC2ACE39}" xr6:coauthVersionLast="36" xr6:coauthVersionMax="36" xr10:uidLastSave="{00000000-0000-0000-0000-000000000000}"/>
  <bookViews>
    <workbookView xWindow="0" yWindow="0" windowWidth="13248" windowHeight="6900" activeTab="4" xr2:uid="{F421BAED-28B2-4688-96E7-ABD81EC907C5}"/>
  </bookViews>
  <sheets>
    <sheet name="Operation" sheetId="1" r:id="rId1"/>
    <sheet name="Marchandises" sheetId="2" r:id="rId2"/>
    <sheet name="Entrées" sheetId="3" r:id="rId3"/>
    <sheet name="Sorties" sheetId="4" r:id="rId4"/>
    <sheet name="Inventaire" sheetId="5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3" l="1"/>
  <c r="K6" i="3"/>
  <c r="J5" i="5"/>
  <c r="J6" i="5"/>
  <c r="J7" i="5"/>
  <c r="J8" i="5"/>
  <c r="J9" i="5"/>
  <c r="J10" i="5"/>
  <c r="J11" i="5"/>
  <c r="J12" i="5"/>
  <c r="J13" i="5"/>
  <c r="J14" i="5"/>
  <c r="J15" i="5"/>
  <c r="I8" i="5"/>
  <c r="I5" i="5"/>
  <c r="I6" i="5"/>
  <c r="I7" i="5"/>
  <c r="I9" i="5"/>
  <c r="I10" i="5"/>
  <c r="I11" i="5"/>
  <c r="I12" i="5"/>
  <c r="I13" i="5"/>
  <c r="I14" i="5"/>
  <c r="I15" i="5"/>
  <c r="H5" i="5"/>
  <c r="H6" i="5"/>
  <c r="H7" i="5"/>
  <c r="H8" i="5"/>
  <c r="H9" i="5"/>
  <c r="H10" i="5"/>
  <c r="H11" i="5"/>
  <c r="H12" i="5"/>
  <c r="H13" i="5"/>
  <c r="H14" i="5"/>
  <c r="H15" i="5"/>
  <c r="G5" i="5"/>
  <c r="K6" i="5" l="1"/>
  <c r="K14" i="5"/>
  <c r="K10" i="5"/>
  <c r="K5" i="5"/>
  <c r="N5" i="5" s="1"/>
  <c r="K13" i="5"/>
  <c r="K9" i="5"/>
  <c r="K8" i="5"/>
  <c r="K12" i="5"/>
  <c r="K7" i="5"/>
  <c r="K15" i="5"/>
  <c r="K11" i="5"/>
  <c r="G6" i="5"/>
  <c r="G7" i="5"/>
  <c r="G8" i="5"/>
  <c r="G9" i="5"/>
  <c r="G10" i="5"/>
  <c r="G11" i="5"/>
  <c r="G12" i="5"/>
  <c r="G13" i="5"/>
  <c r="G14" i="5"/>
  <c r="G15" i="5"/>
  <c r="F5" i="5"/>
  <c r="F6" i="5"/>
  <c r="F7" i="5"/>
  <c r="F8" i="5"/>
  <c r="F9" i="5"/>
  <c r="F10" i="5"/>
  <c r="F11" i="5"/>
  <c r="F12" i="5"/>
  <c r="F13" i="5"/>
  <c r="F14" i="5"/>
  <c r="F15" i="5"/>
  <c r="E13" i="5"/>
  <c r="E5" i="5"/>
  <c r="E6" i="5"/>
  <c r="E7" i="5"/>
  <c r="E8" i="5"/>
  <c r="E9" i="5"/>
  <c r="E10" i="5"/>
  <c r="E11" i="5"/>
  <c r="E12" i="5"/>
  <c r="E14" i="5"/>
  <c r="E15" i="5"/>
  <c r="D13" i="5"/>
  <c r="D5" i="5"/>
  <c r="D6" i="5"/>
  <c r="D7" i="5"/>
  <c r="D8" i="5"/>
  <c r="D9" i="5"/>
  <c r="D10" i="5"/>
  <c r="D11" i="5"/>
  <c r="D12" i="5"/>
  <c r="D14" i="5"/>
  <c r="D15" i="5"/>
  <c r="N6" i="5" l="1"/>
  <c r="N12" i="5"/>
  <c r="N11" i="5"/>
  <c r="N8" i="5"/>
  <c r="N10" i="5"/>
  <c r="N15" i="5"/>
  <c r="N9" i="5"/>
  <c r="N14" i="5"/>
  <c r="N7" i="5"/>
  <c r="N13" i="5"/>
  <c r="K6" i="4"/>
  <c r="K7" i="4"/>
  <c r="K8" i="4"/>
  <c r="C7" i="3"/>
  <c r="K7" i="3"/>
  <c r="C8" i="3" l="1"/>
  <c r="K8" i="3"/>
  <c r="K9" i="3" l="1"/>
  <c r="K10" i="3" l="1"/>
  <c r="J16" i="2"/>
  <c r="L9" i="5" s="1"/>
  <c r="M9" i="5" s="1"/>
  <c r="J17" i="2"/>
  <c r="L8" i="5" s="1"/>
  <c r="M8" i="5" s="1"/>
  <c r="J18" i="2"/>
  <c r="L7" i="5" s="1"/>
  <c r="M7" i="5" s="1"/>
  <c r="J19" i="2"/>
  <c r="L13" i="5" s="1"/>
  <c r="M13" i="5" s="1"/>
  <c r="J20" i="2"/>
  <c r="L12" i="5" s="1"/>
  <c r="M12" i="5" s="1"/>
  <c r="J21" i="2"/>
  <c r="L11" i="5" s="1"/>
  <c r="M11" i="5" s="1"/>
  <c r="J22" i="2" l="1"/>
  <c r="L10" i="5" s="1"/>
  <c r="M10" i="5" s="1"/>
  <c r="J23" i="2"/>
  <c r="L15" i="5" s="1"/>
  <c r="M15" i="5" s="1"/>
  <c r="J24" i="2"/>
  <c r="L14" i="5" s="1"/>
  <c r="M14" i="5" s="1"/>
  <c r="I17" i="1"/>
  <c r="G17" i="1"/>
  <c r="G13" i="1"/>
  <c r="G10" i="1"/>
  <c r="F10" i="2" l="1"/>
  <c r="J25" i="2"/>
  <c r="L6" i="5" s="1"/>
  <c r="M6" i="5" s="1"/>
  <c r="J26" i="2"/>
  <c r="L5" i="5" s="1"/>
  <c r="M5" i="5" s="1"/>
</calcChain>
</file>

<file path=xl/sharedStrings.xml><?xml version="1.0" encoding="utf-8"?>
<sst xmlns="http://schemas.openxmlformats.org/spreadsheetml/2006/main" count="151" uniqueCount="57">
  <si>
    <t>Veuillez saisir les informations de chaque marchandise</t>
  </si>
  <si>
    <r>
      <t xml:space="preserve">Nouvelle </t>
    </r>
    <r>
      <rPr>
        <sz val="14"/>
        <color rgb="FF3D459E"/>
        <rFont val="Gilroy-Bold"/>
      </rPr>
      <t>marchandise</t>
    </r>
  </si>
  <si>
    <t>Référence</t>
  </si>
  <si>
    <t>Désignation</t>
  </si>
  <si>
    <t>Catégorie</t>
  </si>
  <si>
    <t>Unité</t>
  </si>
  <si>
    <t>Seuil d'alerte</t>
  </si>
  <si>
    <t>Stock initial</t>
  </si>
  <si>
    <t>Prix unitaire</t>
  </si>
  <si>
    <t>Total</t>
  </si>
  <si>
    <r>
      <t xml:space="preserve">Listes des </t>
    </r>
    <r>
      <rPr>
        <sz val="14"/>
        <color rgb="FF3D459E"/>
        <rFont val="Gilroy-Bold"/>
      </rPr>
      <t>marchandises</t>
    </r>
    <r>
      <rPr>
        <sz val="14"/>
        <color theme="1"/>
        <rFont val="Gilroy-Bold"/>
      </rPr>
      <t xml:space="preserve"> :</t>
    </r>
  </si>
  <si>
    <t>S1</t>
  </si>
  <si>
    <t>Google search</t>
  </si>
  <si>
    <t>Smartphone</t>
  </si>
  <si>
    <t>1 unité</t>
  </si>
  <si>
    <t>S2</t>
  </si>
  <si>
    <t>IPHONE 15 PRO</t>
  </si>
  <si>
    <t>01 Unité</t>
  </si>
  <si>
    <r>
      <t>Liste des</t>
    </r>
    <r>
      <rPr>
        <sz val="14"/>
        <color rgb="FF3D459E"/>
        <rFont val="Gilroy-Bold"/>
      </rPr>
      <t xml:space="preserve"> entrées :</t>
    </r>
  </si>
  <si>
    <t>Détail de toutes les transactions d'entrée</t>
  </si>
  <si>
    <t>Numéro</t>
  </si>
  <si>
    <t>Date</t>
  </si>
  <si>
    <t>Coût d'achat</t>
  </si>
  <si>
    <t>Quantité</t>
  </si>
  <si>
    <r>
      <t>Liste des</t>
    </r>
    <r>
      <rPr>
        <sz val="14"/>
        <color rgb="FF3D459E"/>
        <rFont val="Gilroy-Bold"/>
      </rPr>
      <t xml:space="preserve"> sorties :</t>
    </r>
  </si>
  <si>
    <t>Détail de toutes les transactions de sortie</t>
  </si>
  <si>
    <t>Prix de vente</t>
  </si>
  <si>
    <t>Veuillez saisir les détailles de l'opérations de vente ou d'achat</t>
  </si>
  <si>
    <r>
      <t xml:space="preserve">Nouvelle </t>
    </r>
    <r>
      <rPr>
        <sz val="14"/>
        <color rgb="FF3D459E"/>
        <rFont val="Gilroy-Bold"/>
      </rPr>
      <t>opération</t>
    </r>
  </si>
  <si>
    <t>C1</t>
  </si>
  <si>
    <t>PLAYSTATION PS5</t>
  </si>
  <si>
    <t>Consoles</t>
  </si>
  <si>
    <t>C2</t>
  </si>
  <si>
    <t>NINTENDO SWITCH</t>
  </si>
  <si>
    <t>E1</t>
  </si>
  <si>
    <t>Réfrigérateur WHIRLPOOL</t>
  </si>
  <si>
    <t>Electro</t>
  </si>
  <si>
    <t>E2</t>
  </si>
  <si>
    <t>Réfrigérateur SIERA</t>
  </si>
  <si>
    <t>E3</t>
  </si>
  <si>
    <t>Cuisinière SIERA</t>
  </si>
  <si>
    <t>E4</t>
  </si>
  <si>
    <t>Cuisinière CANDY</t>
  </si>
  <si>
    <t>B1</t>
  </si>
  <si>
    <t>Oreo</t>
  </si>
  <si>
    <t>Biscuits</t>
  </si>
  <si>
    <t>B2</t>
  </si>
  <si>
    <t>Pack de 10 unités</t>
  </si>
  <si>
    <t>B3</t>
  </si>
  <si>
    <t>Pack de 50 unités</t>
  </si>
  <si>
    <r>
      <t>Détails</t>
    </r>
    <r>
      <rPr>
        <sz val="14"/>
        <color rgb="FF3D459E"/>
        <rFont val="Gilroy-Bold"/>
      </rPr>
      <t xml:space="preserve"> </t>
    </r>
    <r>
      <rPr>
        <sz val="14"/>
        <rFont val="Gilroy-Bold"/>
      </rPr>
      <t>d'</t>
    </r>
    <r>
      <rPr>
        <sz val="14"/>
        <color rgb="FF3D459E"/>
        <rFont val="Gilroy-Bold"/>
      </rPr>
      <t>inventaire :</t>
    </r>
  </si>
  <si>
    <t>Entrées</t>
  </si>
  <si>
    <t>Sorties</t>
  </si>
  <si>
    <t>Stock final</t>
  </si>
  <si>
    <t>CUMP</t>
  </si>
  <si>
    <t>Valeur</t>
  </si>
  <si>
    <t>Statue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</si>
</sst>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* #,##0.00\ [$€-40C]_-;\-* #,##0.00\ [$€-40C]_-;_-* &quot;-&quot;??\ [$€-40C]_-;_-@_-"/>
  </numFmts>
  <fonts count="14" x14ac:knownFonts="1">
    <font>
      <sz val="11"/>
      <color theme="1"/>
      <name val="Calibri"/>
      <family val="2"/>
      <scheme val="minor"/>
    </font>
    <font>
      <sz val="8"/>
      <color theme="1"/>
      <name val="Gilroy-Medium"/>
    </font>
    <font>
      <sz val="14"/>
      <color theme="1"/>
      <name val="Gilroy-Bold"/>
    </font>
    <font>
      <sz val="14"/>
      <color rgb="FF3D459E"/>
      <name val="Gilroy-Bold"/>
    </font>
    <font>
      <sz val="11"/>
      <name val="Calibri"/>
      <family val="2"/>
      <scheme val="minor"/>
    </font>
    <font>
      <sz val="11"/>
      <name val="Gilroy-SemiBold"/>
    </font>
    <font>
      <sz val="11"/>
      <color theme="1"/>
      <name val="Calibri"/>
      <family val="2"/>
      <scheme val="minor"/>
    </font>
    <font>
      <sz val="10"/>
      <color rgb="FF3D459E"/>
      <name val="Gilroy-SemiBold"/>
    </font>
    <font>
      <sz val="10"/>
      <color rgb="FF3D459E"/>
      <name val="Gilroy-Bold"/>
    </font>
    <font>
      <sz val="11"/>
      <color rgb="FF3D459E"/>
      <name val="Gilroy-Bold"/>
    </font>
    <font>
      <sz val="9"/>
      <color theme="1"/>
      <name val="Gilroy-SemiBold"/>
    </font>
    <font>
      <sz val="11"/>
      <color rgb="FF3D459E"/>
      <name val="Calibri"/>
      <family val="2"/>
      <scheme val="minor"/>
    </font>
    <font>
      <sz val="11"/>
      <color rgb="FF3D459E"/>
      <name val="Gilroy-SemiBold"/>
    </font>
    <font>
      <sz val="14"/>
      <name val="Gilroy-Bold"/>
    </font>
  </fonts>
  <fills count="5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3D459E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5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4" fillId="2" borderId="0" xfId="0" applyFont="1" applyFill="1"/>
    <xf numFmtId="0" fontId="5" fillId="2" borderId="0" xfId="0" applyFont="1" applyFill="1" applyAlignment="1">
      <alignment horizontal="right"/>
    </xf>
    <xf numFmtId="0" fontId="0" fillId="2" borderId="1" xfId="0" applyFill="1" applyBorder="1"/>
    <xf numFmtId="0" fontId="0" fillId="4" borderId="2" xfId="0" applyFill="1" applyBorder="1"/>
    <xf numFmtId="0" fontId="5" fillId="2" borderId="0" xfId="0" applyFont="1" applyFill="1" applyAlignment="1">
      <alignment horizontal="left"/>
    </xf>
    <xf numFmtId="0" fontId="7" fillId="4" borderId="0" xfId="0" applyFont="1" applyFill="1" applyBorder="1"/>
    <xf numFmtId="0" fontId="7" fillId="4" borderId="0" xfId="0" applyFont="1" applyFill="1" applyBorder="1" applyAlignment="1">
      <alignment horizontal="left"/>
    </xf>
    <xf numFmtId="0" fontId="7" fillId="4" borderId="0" xfId="0" applyFont="1" applyFill="1" applyBorder="1" applyAlignment="1">
      <alignment horizontal="center" vertical="center"/>
    </xf>
    <xf numFmtId="164" fontId="7" fillId="4" borderId="0" xfId="0" applyNumberFormat="1" applyFont="1" applyFill="1" applyBorder="1" applyAlignment="1">
      <alignment horizontal="left"/>
    </xf>
    <xf numFmtId="0" fontId="8" fillId="4" borderId="0" xfId="0" applyFont="1" applyFill="1" applyBorder="1"/>
    <xf numFmtId="0" fontId="8" fillId="4" borderId="0" xfId="0" applyFont="1" applyFill="1" applyBorder="1" applyAlignment="1">
      <alignment horizontal="left"/>
    </xf>
    <xf numFmtId="0" fontId="8" fillId="4" borderId="0" xfId="0" applyFont="1" applyFill="1" applyBorder="1" applyAlignment="1">
      <alignment horizontal="center" vertical="center"/>
    </xf>
    <xf numFmtId="164" fontId="8" fillId="4" borderId="0" xfId="0" applyNumberFormat="1" applyFont="1" applyFill="1" applyBorder="1" applyAlignment="1">
      <alignment horizontal="left"/>
    </xf>
    <xf numFmtId="0" fontId="9" fillId="4" borderId="0" xfId="0" applyFont="1" applyFill="1"/>
    <xf numFmtId="44" fontId="9" fillId="4" borderId="0" xfId="1" applyFont="1" applyFill="1"/>
    <xf numFmtId="44" fontId="9" fillId="4" borderId="0" xfId="0" applyNumberFormat="1" applyFont="1" applyFill="1"/>
    <xf numFmtId="0" fontId="2" fillId="4" borderId="0" xfId="0" applyFont="1" applyFill="1" applyAlignment="1"/>
    <xf numFmtId="0" fontId="10" fillId="2" borderId="0" xfId="0" applyFont="1" applyFill="1"/>
    <xf numFmtId="0" fontId="11" fillId="2" borderId="0" xfId="0" applyFont="1" applyFill="1" applyAlignment="1">
      <alignment horizontal="left" vertical="center"/>
    </xf>
    <xf numFmtId="14" fontId="11" fillId="2" borderId="0" xfId="0" applyNumberFormat="1" applyFont="1" applyFill="1" applyAlignment="1">
      <alignment horizontal="left" vertical="center"/>
    </xf>
    <xf numFmtId="164" fontId="11" fillId="2" borderId="0" xfId="0" applyNumberFormat="1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164" fontId="12" fillId="2" borderId="0" xfId="0" applyNumberFormat="1" applyFont="1" applyFill="1" applyAlignment="1">
      <alignment horizontal="left"/>
    </xf>
    <xf numFmtId="0" fontId="12" fillId="2" borderId="0" xfId="0" applyFont="1" applyFill="1" applyAlignment="1">
      <alignment horizontal="left"/>
    </xf>
    <xf numFmtId="14" fontId="12" fillId="2" borderId="0" xfId="0" applyNumberFormat="1" applyFont="1" applyFill="1" applyAlignment="1">
      <alignment horizontal="left"/>
    </xf>
    <xf numFmtId="0" fontId="12" fillId="2" borderId="0" xfId="0" applyNumberFormat="1" applyFont="1" applyFill="1" applyAlignment="1">
      <alignment horizontal="left"/>
    </xf>
    <xf numFmtId="164" fontId="8" fillId="2" borderId="0" xfId="0" applyNumberFormat="1" applyFont="1" applyFill="1" applyAlignment="1">
      <alignment horizontal="left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14" fontId="9" fillId="2" borderId="0" xfId="0" applyNumberFormat="1" applyFont="1" applyFill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9" fillId="2" borderId="0" xfId="0" applyNumberFormat="1" applyFont="1" applyFill="1" applyAlignment="1">
      <alignment horizontal="left"/>
    </xf>
    <xf numFmtId="164" fontId="9" fillId="2" borderId="0" xfId="0" applyNumberFormat="1" applyFont="1" applyFill="1" applyAlignment="1">
      <alignment horizontal="left"/>
    </xf>
    <xf numFmtId="164" fontId="9" fillId="2" borderId="0" xfId="0" applyNumberFormat="1" applyFont="1" applyFill="1" applyAlignment="1">
      <alignment horizontal="left" vertical="center"/>
    </xf>
    <xf numFmtId="0" fontId="9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left" vertical="center"/>
    </xf>
    <xf numFmtId="0" fontId="9" fillId="2" borderId="0" xfId="0" applyNumberFormat="1" applyFont="1" applyFill="1" applyAlignment="1">
      <alignment horizontal="center" vertical="center"/>
    </xf>
    <xf numFmtId="0" fontId="12" fillId="2" borderId="0" xfId="0" applyNumberFormat="1" applyFont="1" applyFill="1" applyAlignment="1">
      <alignment horizontal="center" vertical="center"/>
    </xf>
    <xf numFmtId="0" fontId="8" fillId="4" borderId="0" xfId="0" applyNumberFormat="1" applyFont="1" applyFill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  <xf numFmtId="0" fontId="1" fillId="4" borderId="0" xfId="0" applyFont="1" applyFill="1" applyAlignment="1">
      <alignment horizontal="left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/>
    </xf>
    <xf numFmtId="0" fontId="2" fillId="4" borderId="0" xfId="0" applyFont="1" applyFill="1" applyAlignment="1">
      <alignment horizontal="left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/>
    </xf>
    <xf numFmtId="164" fontId="0" fillId="2" borderId="0" xfId="0" applyNumberFormat="1" applyFill="1" applyAlignment="1">
      <alignment horizontal="left"/>
    </xf>
    <xf numFmtId="0" fontId="12" fillId="2" borderId="0" xfId="0" applyNumberFormat="1" applyFon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</cellXfs>
  <cellStyles count="2">
    <cellStyle name="Monétaire" xfId="1" builtinId="4"/>
    <cellStyle name="Normal" xfId="0" builtinId="0"/>
  </cellStyles>
  <dxfs count="49">
    <dxf>
      <font>
        <color rgb="FF00B050"/>
      </font>
      <fill>
        <patternFill patternType="none">
          <bgColor auto="1"/>
        </patternFill>
      </fill>
    </dxf>
    <dxf>
      <font>
        <color rgb="FFFFC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numFmt numFmtId="164" formatCode="_-* #,##0.00\ [$€-40C]_-;\-* #,##0.00\ [$€-40C]_-;_-* &quot;-&quot;??\ [$€-40C]_-;_-@_-"/>
      <fill>
        <patternFill patternType="solid">
          <fgColor indexed="64"/>
          <bgColor rgb="FFFAFAFA"/>
        </patternFill>
      </fill>
      <alignment horizontal="left" vertical="bottom" textRotation="0" wrapText="0" indent="0" justifyLastLine="0" shrinkToFit="0" readingOrder="0"/>
    </dxf>
    <dxf>
      <font>
        <sz val="10"/>
        <color rgb="FF3D459E"/>
        <name val="Gilroy-Bold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z val="10"/>
        <color rgb="FF3D459E"/>
        <name val="Gilroy-Bold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z val="10"/>
        <color rgb="FF3D459E"/>
        <name val="Gilroy-Bold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D459E"/>
        <name val="Gilroy-Bold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3D459E"/>
      </font>
      <numFmt numFmtId="0" formatCode="General"/>
      <fill>
        <patternFill patternType="solid">
          <fgColor indexed="64"/>
          <bgColor rgb="FFFAFAFA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AFAFA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AFAFA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AFAFA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rgb="FFFAFAFA"/>
        </patternFill>
      </fill>
      <alignment horizontal="center" vertical="center" textRotation="0" wrapText="0" indent="0" justifyLastLine="0" shrinkToFit="0" readingOrder="0"/>
    </dxf>
    <dxf>
      <numFmt numFmtId="164" formatCode="_-* #,##0.00\ [$€-40C]_-;\-* #,##0.00\ [$€-40C]_-;_-* &quot;-&quot;??\ [$€-40C]_-;_-@_-"/>
      <fill>
        <patternFill patternType="solid">
          <fgColor indexed="64"/>
          <bgColor rgb="FFFAFAFA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AFAFA"/>
        </patternFill>
      </fill>
    </dxf>
    <dxf>
      <fill>
        <patternFill patternType="solid">
          <fgColor indexed="64"/>
          <bgColor rgb="FFFAFAFA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AFAFA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AFAFA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FAFAFA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FAFAFA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FAFAFA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FAFAFA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bottom" textRotation="0" wrapText="0" indent="0" justifyLastLine="0" shrinkToFit="0" readingOrder="0"/>
    </dxf>
    <dxf>
      <numFmt numFmtId="164" formatCode="_-* #,##0.00\ [$€-40C]_-;\-* #,##0.00\ [$€-40C]_-;_-* &quot;-&quot;??\ [$€-40C]_-;_-@_-"/>
      <fill>
        <patternFill patternType="solid">
          <fgColor indexed="64"/>
          <bgColor rgb="FFFAFAF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D459E"/>
        <name val="Gilroy-Bold"/>
        <scheme val="non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FAFAFA"/>
        </patternFill>
      </fill>
    </dxf>
    <dxf>
      <fill>
        <patternFill patternType="solid">
          <fgColor indexed="64"/>
          <bgColor rgb="FFFAFAFA"/>
        </patternFill>
      </fill>
    </dxf>
    <dxf>
      <fill>
        <patternFill patternType="solid">
          <fgColor indexed="64"/>
          <bgColor rgb="FFFAFAFA"/>
        </patternFill>
      </fill>
    </dxf>
    <dxf>
      <fill>
        <patternFill patternType="solid">
          <fgColor indexed="64"/>
          <bgColor rgb="FFFAFAFA"/>
        </patternFill>
      </fill>
    </dxf>
    <dxf>
      <fill>
        <patternFill patternType="solid">
          <fgColor indexed="64"/>
          <bgColor rgb="FFFAFAFA"/>
        </patternFill>
      </fill>
    </dxf>
    <dxf>
      <fill>
        <patternFill patternType="solid">
          <fgColor indexed="64"/>
          <bgColor rgb="FFFAFAFA"/>
        </patternFill>
      </fill>
    </dxf>
    <dxf>
      <fill>
        <patternFill patternType="solid">
          <fgColor indexed="64"/>
          <bgColor rgb="FFFAFAFA"/>
        </patternFill>
      </fill>
    </dxf>
    <dxf>
      <fill>
        <patternFill patternType="solid">
          <fgColor indexed="64"/>
          <bgColor rgb="FFFAFAFA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bottom" textRotation="0" wrapText="0" indent="0" justifyLastLine="0" shrinkToFit="0" readingOrder="0"/>
    </dxf>
    <dxf>
      <numFmt numFmtId="164" formatCode="_-* #,##0.00\ [$€-40C]_-;\-* #,##0.00\ [$€-40C]_-;_-* &quot;-&quot;??\ [$€-40C]_-;_-@_-"/>
      <fill>
        <patternFill patternType="solid">
          <fgColor indexed="64"/>
          <bgColor rgb="FFFAFAF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D459E"/>
        <name val="Gilroy-Bold"/>
        <scheme val="non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FAFAFA"/>
        </patternFill>
      </fill>
    </dxf>
    <dxf>
      <fill>
        <patternFill patternType="solid">
          <fgColor indexed="64"/>
          <bgColor rgb="FFFAFAFA"/>
        </patternFill>
      </fill>
    </dxf>
    <dxf>
      <fill>
        <patternFill patternType="solid">
          <fgColor indexed="64"/>
          <bgColor rgb="FFFAFAFA"/>
        </patternFill>
      </fill>
    </dxf>
    <dxf>
      <numFmt numFmtId="0" formatCode="General"/>
      <fill>
        <patternFill patternType="solid">
          <fgColor indexed="64"/>
          <bgColor rgb="FFFAFAFA"/>
        </patternFill>
      </fill>
    </dxf>
    <dxf>
      <fill>
        <patternFill patternType="solid">
          <fgColor indexed="64"/>
          <bgColor rgb="FFFAFAFA"/>
        </patternFill>
      </fill>
    </dxf>
    <dxf>
      <fill>
        <patternFill patternType="solid">
          <fgColor indexed="64"/>
          <bgColor rgb="FFFAFAFA"/>
        </patternFill>
      </fill>
    </dxf>
    <dxf>
      <fill>
        <patternFill patternType="solid">
          <fgColor indexed="64"/>
          <bgColor rgb="FFFAFAFA"/>
        </patternFill>
      </fill>
    </dxf>
    <dxf>
      <fill>
        <patternFill patternType="solid">
          <fgColor indexed="64"/>
          <bgColor rgb="FFFAFAFA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FAFAFA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3D459E"/>
      <color rgb="FFFAFA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556260</xdr:colOff>
      <xdr:row>17</xdr:row>
      <xdr:rowOff>102870</xdr:rowOff>
    </xdr:from>
    <xdr:to>
      <xdr:col>8</xdr:col>
      <xdr:colOff>710280</xdr:colOff>
      <xdr:row>19</xdr:row>
      <xdr:rowOff>4350</xdr:rowOff>
    </xdr:to>
    <xdr:sp macro="[0]!ajouterEntr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17E32E5-5436-4A8E-B68E-826F929FDC01}"/>
            </a:ext>
          </a:extLst>
        </xdr:cNvPr>
        <xdr:cNvSpPr/>
      </xdr:nvSpPr>
      <xdr:spPr>
        <a:xfrm>
          <a:off x="6126480" y="3310890"/>
          <a:ext cx="756000" cy="252000"/>
        </a:xfrm>
        <a:prstGeom prst="roundRect">
          <a:avLst/>
        </a:prstGeom>
        <a:solidFill>
          <a:srgbClr val="3D459E"/>
        </a:solidFill>
        <a:ln>
          <a:noFill/>
        </a:ln>
        <a:effectLst>
          <a:glow rad="38100">
            <a:srgbClr val="3D459E">
              <a:alpha val="3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900">
              <a:solidFill>
                <a:schemeClr val="bg1"/>
              </a:solidFill>
              <a:latin typeface="Gilroy-Bold" panose="00000800000000000000" pitchFamily="2" charset="0"/>
            </a:rPr>
            <a:t>Entrée</a:t>
          </a:r>
        </a:p>
      </xdr:txBody>
    </xdr:sp>
    <xdr:clientData/>
  </xdr:twoCellAnchor>
  <xdr:twoCellAnchor>
    <xdr:from>
      <xdr:col>8</xdr:col>
      <xdr:colOff>861060</xdr:colOff>
      <xdr:row>17</xdr:row>
      <xdr:rowOff>102870</xdr:rowOff>
    </xdr:from>
    <xdr:to>
      <xdr:col>8</xdr:col>
      <xdr:colOff>1617060</xdr:colOff>
      <xdr:row>19</xdr:row>
      <xdr:rowOff>4350</xdr:rowOff>
    </xdr:to>
    <xdr:sp macro="[0]!ajouterSorti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30761997-7A3C-420C-851D-E7736EB58224}"/>
            </a:ext>
          </a:extLst>
        </xdr:cNvPr>
        <xdr:cNvSpPr/>
      </xdr:nvSpPr>
      <xdr:spPr>
        <a:xfrm>
          <a:off x="7033260" y="3310890"/>
          <a:ext cx="756000" cy="252000"/>
        </a:xfrm>
        <a:prstGeom prst="roundRect">
          <a:avLst/>
        </a:prstGeom>
        <a:solidFill>
          <a:srgbClr val="3D459E"/>
        </a:solidFill>
        <a:ln>
          <a:noFill/>
        </a:ln>
        <a:effectLst>
          <a:glow rad="38100">
            <a:srgbClr val="3D459E">
              <a:alpha val="3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900">
              <a:solidFill>
                <a:schemeClr val="bg1"/>
              </a:solidFill>
              <a:latin typeface="Gilroy-Bold" panose="00000800000000000000" pitchFamily="2" charset="0"/>
            </a:rPr>
            <a:t>Sortie</a:t>
          </a:r>
        </a:p>
      </xdr:txBody>
    </xdr:sp>
    <xdr:clientData/>
  </xdr:twoCellAnchor>
  <xdr:twoCellAnchor>
    <xdr:from>
      <xdr:col>6</xdr:col>
      <xdr:colOff>22860</xdr:colOff>
      <xdr:row>17</xdr:row>
      <xdr:rowOff>102870</xdr:rowOff>
    </xdr:from>
    <xdr:to>
      <xdr:col>6</xdr:col>
      <xdr:colOff>778860</xdr:colOff>
      <xdr:row>19</xdr:row>
      <xdr:rowOff>4350</xdr:rowOff>
    </xdr:to>
    <xdr:sp macro="[0]!annulerOperation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A6CDB34D-1C42-465B-905D-E8057A5668DA}"/>
            </a:ext>
          </a:extLst>
        </xdr:cNvPr>
        <xdr:cNvSpPr/>
      </xdr:nvSpPr>
      <xdr:spPr>
        <a:xfrm>
          <a:off x="3566160" y="3310890"/>
          <a:ext cx="756000" cy="252000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glow rad="38100">
            <a:schemeClr val="bg1">
              <a:lumMod val="65000"/>
              <a:alpha val="3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900">
              <a:solidFill>
                <a:sysClr val="windowText" lastClr="000000"/>
              </a:solidFill>
              <a:latin typeface="Gilroy-Bold" panose="00000800000000000000" pitchFamily="2" charset="0"/>
            </a:rPr>
            <a:t>Annuler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624840</xdr:colOff>
      <xdr:row>10</xdr:row>
      <xdr:rowOff>121920</xdr:rowOff>
    </xdr:from>
    <xdr:to>
      <xdr:col>5</xdr:col>
      <xdr:colOff>1344840</xdr:colOff>
      <xdr:row>12</xdr:row>
      <xdr:rowOff>7620</xdr:rowOff>
    </xdr:to>
    <xdr:sp macro="[0]!ajouterMarchandis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78CB6AC-679E-4C35-8280-FDA6EB0A3143}"/>
            </a:ext>
          </a:extLst>
        </xdr:cNvPr>
        <xdr:cNvSpPr/>
      </xdr:nvSpPr>
      <xdr:spPr>
        <a:xfrm>
          <a:off x="6758940" y="2179320"/>
          <a:ext cx="720000" cy="251460"/>
        </a:xfrm>
        <a:prstGeom prst="roundRect">
          <a:avLst/>
        </a:prstGeom>
        <a:solidFill>
          <a:srgbClr val="3D459E"/>
        </a:solidFill>
        <a:ln>
          <a:noFill/>
        </a:ln>
        <a:effectLst>
          <a:glow rad="38100">
            <a:srgbClr val="3D459E">
              <a:alpha val="9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latin typeface="Gilroy-Bold" panose="00000800000000000000" pitchFamily="2" charset="0"/>
            </a:rPr>
            <a:t>Ajouter</a:t>
          </a:r>
        </a:p>
      </xdr:txBody>
    </xdr:sp>
    <xdr:clientData/>
  </xdr:twoCellAnchor>
  <xdr:twoCellAnchor>
    <xdr:from>
      <xdr:col>4</xdr:col>
      <xdr:colOff>1173480</xdr:colOff>
      <xdr:row>10</xdr:row>
      <xdr:rowOff>121920</xdr:rowOff>
    </xdr:from>
    <xdr:to>
      <xdr:col>5</xdr:col>
      <xdr:colOff>521880</xdr:colOff>
      <xdr:row>12</xdr:row>
      <xdr:rowOff>7620</xdr:rowOff>
    </xdr:to>
    <xdr:sp macro="[0]!annulerMarchandis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4CF82C2-A8EF-44A0-AF46-D28F959EC72B}"/>
            </a:ext>
          </a:extLst>
        </xdr:cNvPr>
        <xdr:cNvSpPr/>
      </xdr:nvSpPr>
      <xdr:spPr>
        <a:xfrm>
          <a:off x="5935980" y="2179320"/>
          <a:ext cx="720000" cy="251460"/>
        </a:xfrm>
        <a:prstGeom prst="roundRect">
          <a:avLst/>
        </a:prstGeom>
        <a:solidFill>
          <a:srgbClr val="FAFAFA"/>
        </a:solidFill>
        <a:ln>
          <a:noFill/>
        </a:ln>
        <a:effectLst>
          <a:glow rad="38100">
            <a:schemeClr val="bg1">
              <a:lumMod val="65000"/>
              <a:alpha val="9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  <a:latin typeface="Gilroy-Bold" panose="00000800000000000000" pitchFamily="2" charset="0"/>
            </a:rPr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1B7E6C-D0D2-498F-A58D-F39C705045E7}" name="listeMarchandises" displayName="listeMarchandises" ref="C15:J26" totalsRowShown="0" headerRowDxfId="48" dataDxfId="47">
  <autoFilter ref="C15:J26" xr:uid="{DE520002-ABCE-420B-8EA1-7B6F0C8ADCBD}"/>
  <tableColumns count="8">
    <tableColumn id="1" xr3:uid="{38983F86-18AE-4DCB-9C58-BAB41E89E52B}" name="Référence" dataDxfId="22"/>
    <tableColumn id="2" xr3:uid="{4CCE8CAD-38AF-4D71-940B-FD5E8941922C}" name="Désignation" dataDxfId="21"/>
    <tableColumn id="3" xr3:uid="{0C67B66F-1529-431B-8FE5-B5C2001C4FA6}" name="Catégorie" dataDxfId="20"/>
    <tableColumn id="4" xr3:uid="{C30D47D4-5AA1-440D-B403-2DE9C40DC084}" name="Unité" dataDxfId="19"/>
    <tableColumn id="5" xr3:uid="{29D045F2-09F0-4998-8F41-861060A26A61}" name="Seuil d'alerte" dataDxfId="18"/>
    <tableColumn id="6" xr3:uid="{9C50AC02-094F-4358-A01B-FD8B4BBEB3A1}" name="Stock initial" dataDxfId="17"/>
    <tableColumn id="7" xr3:uid="{0046A8F0-F944-449A-9271-DC9F883BCFA6}" name="Prix unitaire" dataDxfId="15"/>
    <tableColumn id="8" xr3:uid="{6FDBE143-391C-4D0B-9F57-0200709F692E}" name="Total" dataDxfId="16">
      <calculatedColumnFormula>listeMarchandises[[#This Row],[Stock initial]]*listeMarchandises[[#This Row],[Prix unitaire]]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B38486D-487F-4C75-B18D-2EE0D06FC58A}" name="listeEntrees" displayName="listeEntrees" ref="C5:K10" totalsRowShown="0" headerRowDxfId="46" dataDxfId="45">
  <autoFilter ref="C5:K10" xr:uid="{89B574A0-BDAD-4707-9377-EAACB07F4224}"/>
  <tableColumns count="9">
    <tableColumn id="1" xr3:uid="{35EC3F6F-E5B3-465E-8418-61846DACD4F1}" name="Numéro" dataDxfId="44"/>
    <tableColumn id="2" xr3:uid="{50E33ABC-7F31-461A-994C-EC68259E0675}" name="Date" dataDxfId="43"/>
    <tableColumn id="3" xr3:uid="{2561C34B-76A3-42E3-AB4F-D43204F9CAB9}" name="Référence" dataDxfId="42"/>
    <tableColumn id="4" xr3:uid="{07EADA89-8817-4324-9519-743BEF37BBF1}" name="Désignation" dataDxfId="41">
      <calculatedColumnFormula>IFERROR(VLOOKUP(F3,listeMarchandises[],2,FALSE),"")</calculatedColumnFormula>
    </tableColumn>
    <tableColumn id="5" xr3:uid="{D22D5666-52E3-42B0-AAE9-8C1260E11DCE}" name="Catégorie" dataDxfId="40"/>
    <tableColumn id="6" xr3:uid="{40F815E8-32A6-4E7C-A7EB-36E9B0886B48}" name="Unité" dataDxfId="39"/>
    <tableColumn id="7" xr3:uid="{CEB0E9B9-0C9C-4FA6-A457-F0C18CAD0440}" name="Coût d'achat" dataDxfId="38"/>
    <tableColumn id="9" xr3:uid="{BA6196B7-9832-4014-A05A-F29020AA78A7}" name="Quantité" dataDxfId="37"/>
    <tableColumn id="8" xr3:uid="{AAE89728-F9DC-4462-B7A3-A2E12CAC7E8B}" name="Total" dataDxfId="36">
      <calculatedColumnFormula>listeEntrees[[#This Row],[Coût d''achat]]*listeEntrees[[#This Row],[Quantité]]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1CBA4EE-B198-4C4E-B6E8-210152B2502D}" name="listeSortie" displayName="listeSortie" ref="C5:K8" totalsRowShown="0" headerRowDxfId="35" dataDxfId="34">
  <autoFilter ref="C5:K8" xr:uid="{FFD77BC9-94C4-4903-A0A6-EE0325504B05}"/>
  <tableColumns count="9">
    <tableColumn id="1" xr3:uid="{52B50875-AC19-47AD-8A5B-D63FA75BFCB3}" name="Numéro" dataDxfId="33"/>
    <tableColumn id="2" xr3:uid="{A808EDB6-A03D-491A-B45C-9ADE7B5C8C9D}" name="Date" dataDxfId="32"/>
    <tableColumn id="3" xr3:uid="{2F79244D-B669-4AA5-87A0-915D29861F43}" name="Référence" dataDxfId="31"/>
    <tableColumn id="4" xr3:uid="{AF57A723-54D7-4B1C-8238-1DE264484083}" name="Désignation" dataDxfId="30"/>
    <tableColumn id="5" xr3:uid="{2343DC56-1036-4B2B-B130-749EDD05CC09}" name="Catégorie" dataDxfId="29"/>
    <tableColumn id="6" xr3:uid="{6C7A1436-D904-4D46-8088-D680C1B5BBBE}" name="Unité" dataDxfId="28"/>
    <tableColumn id="7" xr3:uid="{30378013-42AC-4BEB-8905-2E5804604528}" name="Prix de vente" dataDxfId="27"/>
    <tableColumn id="9" xr3:uid="{1EF95744-1518-4C9F-AE9E-974278B6C35D}" name="Quantité" dataDxfId="26"/>
    <tableColumn id="8" xr3:uid="{D1CED4B9-2FF5-43FB-A84F-C3BEB6467170}" name="Total" dataDxfId="25">
      <calculatedColumnFormula>listeSortie[[#This Row],[Quantité]]*listeSortie[[#This Row],[Prix de vente]]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DE41650-B56A-4772-84DC-092EED178252}" name="listeInventaire" displayName="listeInventaire" ref="C4:N15" totalsRowShown="0" headerRowDxfId="24" dataDxfId="23">
  <autoFilter ref="C4:N15" xr:uid="{32B2694C-22E5-49C6-8EC9-88C3B1830869}"/>
  <tableColumns count="12">
    <tableColumn id="1" xr3:uid="{5E56D98C-D3AA-477A-B19E-E4EF9A215D67}" name="Référence" dataDxfId="14"/>
    <tableColumn id="2" xr3:uid="{9271AB20-3F09-4A61-AC35-13769F2787F5}" name="Désignation" dataDxfId="13">
      <calculatedColumnFormula>VLOOKUP(listeInventaire[[#This Row],[Référence]],listeMarchandises[],2,FALSE)</calculatedColumnFormula>
    </tableColumn>
    <tableColumn id="3" xr3:uid="{3FE7046D-C22E-475F-B42C-C7C32DBA93CC}" name="Catégorie" dataDxfId="12">
      <calculatedColumnFormula>VLOOKUP(listeInventaire[[#This Row],[Référence]],listeMarchandises[],3,FALSE)</calculatedColumnFormula>
    </tableColumn>
    <tableColumn id="4" xr3:uid="{EE195631-53FD-4B09-8964-8009ED3B6FE5}" name="Unité" dataDxfId="11">
      <calculatedColumnFormula>VLOOKUP(listeInventaire[[#This Row],[Référence]],listeMarchandises[],4,FALSE)</calculatedColumnFormula>
    </tableColumn>
    <tableColumn id="5" xr3:uid="{B10F9638-8D24-467C-9E67-0CBA42BAB47D}" name="Seuil d'alerte" dataDxfId="10">
      <calculatedColumnFormula>VLOOKUP(listeInventaire[[#This Row],[Référence]],listeMarchandises[],5,FALSE)</calculatedColumnFormula>
    </tableColumn>
    <tableColumn id="6" xr3:uid="{63A9E705-BF38-42BD-A5CD-3264C7A34538}" name="Stock initial" dataDxfId="9">
      <calculatedColumnFormula>VLOOKUP(listeInventaire[[#This Row],[Référence]],listeMarchandises[],6,FALSE)</calculatedColumnFormula>
    </tableColumn>
    <tableColumn id="7" xr3:uid="{43B02698-CF8B-4332-AEB3-B06198B5816B}" name="Entrées" dataDxfId="8">
      <calculatedColumnFormula>SUMIF(listeEntrees[Référence],listeInventaire[Référence],listeEntrees[Quantité])</calculatedColumnFormula>
    </tableColumn>
    <tableColumn id="9" xr3:uid="{25C3F999-7E07-4F90-92F6-5F9587437D8B}" name="Sorties" dataDxfId="7">
      <calculatedColumnFormula>SUMIF(listeSortie[Référence],listeInventaire[Référence],listeSortie[Quantité])</calculatedColumnFormula>
    </tableColumn>
    <tableColumn id="12" xr3:uid="{A7781BE1-1CE9-457F-9C02-EF0BDADD1EA6}" name="Stock final" dataDxfId="6">
      <calculatedColumnFormula>listeInventaire[[#This Row],[Stock initial]]+listeInventaire[[#This Row],[Entrées]]-listeInventaire[[#This Row],[Sorties]]</calculatedColumnFormula>
    </tableColumn>
    <tableColumn id="11" xr3:uid="{1411CD2A-3E81-4B3C-878A-40D4FA1F24DC}" name="CUMP" dataDxfId="5">
      <calculatedColumnFormula>IFERROR((VLOOKUP(listeInventaire[Référence],listeMarchandises[],8,FALSE)+SUMIF(listeEntrees[Référence],listeInventaire[Référence],listeEntrees[Total]))/((VLOOKUP(listeInventaire[Référence],listeMarchandises[],6,FALSE)+SUMIF(listeEntrees[Référence],listeInventaire[Référence],listeEntrees[Quantité]))),  0)</calculatedColumnFormula>
    </tableColumn>
    <tableColumn id="10" xr3:uid="{8A02A5BD-C643-4885-95A4-97061A200ADC}" name="Valeur" dataDxfId="4">
      <calculatedColumnFormula>listeInventaire[[#This Row],[CUMP]]*listeInventaire[[#This Row],[Stock final]]</calculatedColumnFormula>
    </tableColumn>
    <tableColumn id="8" xr3:uid="{76180A48-07C7-466E-B95B-2CACA33C15B1}" name="Statue" dataDxfId="3">
      <calculatedColumnFormula>IF(listeInventaire[[#This Row],[Stock final]]&gt;listeInventaire[[#This Row],[Seuil d''alerte]],"Stock normal",IF(listeInventaire[[#This Row],[Stock final]]=0,"Non disponible","Stock faible"))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E7F82-11B8-497C-A156-5F43FEE29D9C}">
  <sheetPr codeName="Feuil1"/>
  <dimension ref="A1:Q21"/>
  <sheetViews>
    <sheetView topLeftCell="C1" zoomScaleNormal="100" workbookViewId="0">
      <selection activeCell="G7" sqref="G7"/>
    </sheetView>
  </sheetViews>
  <sheetFormatPr baseColWidth="10" defaultRowHeight="14.4" x14ac:dyDescent="0.3"/>
  <cols>
    <col min="1" max="5" width="8.77734375" style="1" customWidth="1"/>
    <col min="6" max="6" width="7.77734375" style="1" customWidth="1"/>
    <col min="7" max="7" width="29.5546875" style="1" customWidth="1"/>
    <col min="8" max="8" width="8.77734375" style="1" customWidth="1"/>
    <col min="9" max="9" width="25" style="1" customWidth="1"/>
    <col min="10" max="10" width="7.77734375" style="1" customWidth="1"/>
    <col min="11" max="16384" width="11.5546875" style="1"/>
  </cols>
  <sheetData>
    <row r="1" spans="1:17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ht="18" customHeight="1" x14ac:dyDescent="0.35">
      <c r="A3" s="2"/>
      <c r="B3" s="2"/>
      <c r="C3" s="2"/>
      <c r="D3" s="2"/>
      <c r="E3" s="2"/>
      <c r="F3" s="3"/>
      <c r="G3" s="20" t="s">
        <v>28</v>
      </c>
      <c r="H3" s="20"/>
      <c r="I3" s="20"/>
      <c r="J3" s="20"/>
      <c r="K3" s="2"/>
      <c r="L3" s="2"/>
      <c r="M3" s="2"/>
      <c r="N3" s="2"/>
      <c r="O3" s="2"/>
      <c r="P3" s="2"/>
      <c r="Q3" s="2"/>
    </row>
    <row r="4" spans="1:17" ht="14.4" customHeight="1" x14ac:dyDescent="0.35">
      <c r="F4" s="3"/>
      <c r="G4" s="45" t="s">
        <v>27</v>
      </c>
      <c r="H4" s="45"/>
      <c r="I4" s="45"/>
      <c r="J4" s="20"/>
    </row>
    <row r="5" spans="1:17" ht="8.4" customHeight="1" x14ac:dyDescent="0.3"/>
    <row r="6" spans="1:17" ht="13.95" customHeight="1" x14ac:dyDescent="0.3">
      <c r="G6" s="21" t="s">
        <v>2</v>
      </c>
      <c r="I6" s="21" t="s">
        <v>21</v>
      </c>
    </row>
    <row r="7" spans="1:17" ht="22.05" customHeight="1" x14ac:dyDescent="0.3">
      <c r="G7" s="22"/>
      <c r="I7" s="23"/>
    </row>
    <row r="8" spans="1:17" ht="13.95" customHeight="1" x14ac:dyDescent="0.3"/>
    <row r="9" spans="1:17" ht="13.95" customHeight="1" x14ac:dyDescent="0.3">
      <c r="G9" s="21" t="s">
        <v>3</v>
      </c>
      <c r="I9" s="21" t="s">
        <v>8</v>
      </c>
    </row>
    <row r="10" spans="1:17" ht="22.05" customHeight="1" x14ac:dyDescent="0.3">
      <c r="G10" s="22" t="str">
        <f>IFERROR(VLOOKUP(G7,listeMarchandises[],2,FALSE),"")</f>
        <v/>
      </c>
      <c r="I10" s="24"/>
    </row>
    <row r="11" spans="1:17" ht="13.95" customHeight="1" x14ac:dyDescent="0.3"/>
    <row r="12" spans="1:17" ht="13.95" customHeight="1" x14ac:dyDescent="0.3">
      <c r="G12" s="21" t="s">
        <v>4</v>
      </c>
      <c r="I12" s="21" t="s">
        <v>23</v>
      </c>
    </row>
    <row r="13" spans="1:17" ht="22.05" customHeight="1" x14ac:dyDescent="0.3">
      <c r="G13" s="22" t="str">
        <f>IFERROR(VLOOKUP(G7,listeMarchandises[],3,FALSE),"")</f>
        <v/>
      </c>
      <c r="I13" s="25"/>
    </row>
    <row r="14" spans="1:17" ht="13.95" customHeight="1" x14ac:dyDescent="0.3"/>
    <row r="15" spans="1:17" ht="13.95" customHeight="1" x14ac:dyDescent="0.3">
      <c r="G15" s="21" t="s">
        <v>5</v>
      </c>
      <c r="I15" s="21" t="s">
        <v>9</v>
      </c>
    </row>
    <row r="16" spans="1:17" ht="13.95" customHeight="1" x14ac:dyDescent="0.3">
      <c r="G16" s="21"/>
      <c r="I16" s="21"/>
    </row>
    <row r="17" spans="7:9" ht="22.05" customHeight="1" x14ac:dyDescent="0.3">
      <c r="G17" s="22" t="str">
        <f>IFERROR(VLOOKUP(G7,listeMarchandises[],4,FALSE),"")</f>
        <v/>
      </c>
      <c r="I17" s="24">
        <f>I10*I13</f>
        <v>0</v>
      </c>
    </row>
    <row r="18" spans="7:9" ht="13.95" customHeight="1" x14ac:dyDescent="0.3"/>
    <row r="19" spans="7:9" ht="13.95" customHeight="1" x14ac:dyDescent="0.3"/>
    <row r="20" spans="7:9" ht="13.95" customHeight="1" x14ac:dyDescent="0.3"/>
    <row r="21" spans="7:9" ht="13.95" customHeight="1" x14ac:dyDescent="0.3"/>
  </sheetData>
  <mergeCells count="1">
    <mergeCell ref="G4:I4"/>
  </mergeCells>
  <dataValidations count="1">
    <dataValidation type="date" operator="greaterThan" allowBlank="1" showInputMessage="1" showErrorMessage="1" errorTitle="Date incorrecte" error="Veuillez saisir une date correcte" sqref="I7" xr:uid="{E02833BA-3944-4479-8773-42988A69974D}">
      <formula1>45591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306CE-AA13-470E-A957-7C8EFB7B4809}">
  <sheetPr codeName="Feuil2"/>
  <dimension ref="A1:R26"/>
  <sheetViews>
    <sheetView showGridLines="0" topLeftCell="A10" zoomScale="80" zoomScaleNormal="80" workbookViewId="0">
      <selection activeCell="D19" sqref="D19"/>
    </sheetView>
  </sheetViews>
  <sheetFormatPr baseColWidth="10" defaultRowHeight="14.4" x14ac:dyDescent="0.3"/>
  <cols>
    <col min="1" max="2" width="11.5546875" style="1"/>
    <col min="3" max="3" width="15.109375" style="50" customWidth="1"/>
    <col min="4" max="4" width="31.21875" style="50" customWidth="1"/>
    <col min="5" max="5" width="20" style="50" customWidth="1"/>
    <col min="6" max="6" width="19.77734375" style="50" customWidth="1"/>
    <col min="7" max="7" width="15" style="49" bestFit="1" customWidth="1"/>
    <col min="8" max="8" width="13.88671875" style="49" bestFit="1" customWidth="1"/>
    <col min="9" max="9" width="14.109375" style="51" bestFit="1" customWidth="1"/>
    <col min="10" max="10" width="13.109375" style="1" bestFit="1" customWidth="1"/>
    <col min="11" max="16384" width="11.5546875" style="1"/>
  </cols>
  <sheetData>
    <row r="1" spans="1:18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8" x14ac:dyDescent="0.3">
      <c r="A3" s="2"/>
      <c r="B3" s="3"/>
      <c r="C3" s="46" t="s">
        <v>1</v>
      </c>
      <c r="D3" s="46"/>
      <c r="E3" s="46"/>
      <c r="F3" s="46"/>
      <c r="G3" s="3"/>
      <c r="H3" s="3"/>
      <c r="I3" s="3"/>
      <c r="J3" s="3"/>
      <c r="K3" s="3"/>
      <c r="L3" s="2"/>
      <c r="M3" s="2"/>
      <c r="N3" s="2"/>
      <c r="O3" s="2"/>
      <c r="P3" s="2"/>
      <c r="Q3" s="2"/>
      <c r="R3" s="2"/>
    </row>
    <row r="4" spans="1:18" x14ac:dyDescent="0.3">
      <c r="B4" s="3"/>
      <c r="C4" s="45" t="s">
        <v>0</v>
      </c>
      <c r="D4" s="45"/>
      <c r="E4" s="45"/>
      <c r="F4" s="45"/>
      <c r="G4" s="45"/>
      <c r="H4" s="3"/>
      <c r="I4" s="3"/>
      <c r="J4" s="3"/>
      <c r="K4" s="3"/>
    </row>
    <row r="5" spans="1:18" x14ac:dyDescent="0.3">
      <c r="B5" s="3"/>
      <c r="C5" s="7"/>
      <c r="D5" s="3"/>
      <c r="E5" s="3"/>
      <c r="F5" s="3"/>
      <c r="G5" s="3"/>
      <c r="H5" s="3"/>
      <c r="I5" s="3"/>
      <c r="J5" s="3"/>
      <c r="K5" s="3"/>
    </row>
    <row r="6" spans="1:18" x14ac:dyDescent="0.3">
      <c r="B6" s="4"/>
      <c r="C6" s="4"/>
      <c r="D6" s="4"/>
      <c r="E6" s="4"/>
      <c r="F6" s="4"/>
      <c r="G6" s="4"/>
      <c r="H6" s="4"/>
      <c r="I6" s="4"/>
      <c r="J6" s="4"/>
      <c r="K6" s="4"/>
    </row>
    <row r="7" spans="1:18" ht="18" customHeight="1" x14ac:dyDescent="0.3">
      <c r="B7" s="4"/>
      <c r="C7" s="5" t="s">
        <v>2</v>
      </c>
      <c r="D7" s="17"/>
      <c r="E7" s="5" t="s">
        <v>6</v>
      </c>
      <c r="F7" s="17"/>
      <c r="G7" s="4"/>
      <c r="H7" s="4"/>
      <c r="I7" s="4"/>
      <c r="J7" s="4"/>
      <c r="K7" s="4"/>
    </row>
    <row r="8" spans="1:18" ht="18" customHeight="1" x14ac:dyDescent="0.3">
      <c r="B8" s="4"/>
      <c r="C8" s="5" t="s">
        <v>3</v>
      </c>
      <c r="D8" s="17"/>
      <c r="E8" s="5" t="s">
        <v>7</v>
      </c>
      <c r="F8" s="17"/>
      <c r="G8" s="4"/>
      <c r="H8" s="4"/>
      <c r="I8" s="4"/>
      <c r="J8" s="4"/>
      <c r="K8" s="4"/>
    </row>
    <row r="9" spans="1:18" ht="18" customHeight="1" x14ac:dyDescent="0.3">
      <c r="B9" s="4"/>
      <c r="C9" s="5" t="s">
        <v>4</v>
      </c>
      <c r="D9" s="17"/>
      <c r="E9" s="5" t="s">
        <v>8</v>
      </c>
      <c r="F9" s="18"/>
      <c r="G9" s="4"/>
      <c r="H9" s="4"/>
      <c r="I9" s="4"/>
      <c r="J9" s="4"/>
      <c r="K9" s="4"/>
    </row>
    <row r="10" spans="1:18" ht="18" customHeight="1" x14ac:dyDescent="0.3">
      <c r="B10" s="4"/>
      <c r="C10" s="5" t="s">
        <v>5</v>
      </c>
      <c r="D10" s="17"/>
      <c r="E10" s="5" t="s">
        <v>9</v>
      </c>
      <c r="F10" s="19">
        <f>F9*F8</f>
        <v>0</v>
      </c>
      <c r="G10" s="4"/>
      <c r="H10" s="4"/>
      <c r="I10" s="4"/>
      <c r="J10" s="4"/>
      <c r="K10" s="4"/>
    </row>
    <row r="11" spans="1:18" x14ac:dyDescent="0.3">
      <c r="B11" s="4"/>
      <c r="C11" s="4"/>
      <c r="D11" s="4"/>
      <c r="E11" s="4"/>
      <c r="F11" s="4"/>
      <c r="G11" s="4"/>
      <c r="H11" s="4"/>
      <c r="I11" s="4"/>
      <c r="J11" s="4"/>
      <c r="K11" s="4"/>
    </row>
    <row r="12" spans="1:18" x14ac:dyDescent="0.3">
      <c r="B12" s="4"/>
      <c r="C12" s="4"/>
      <c r="D12" s="4"/>
      <c r="E12" s="4"/>
      <c r="F12" s="4"/>
      <c r="G12" s="4"/>
      <c r="H12" s="4"/>
      <c r="I12" s="4"/>
      <c r="J12" s="4"/>
      <c r="K12" s="4"/>
    </row>
    <row r="13" spans="1:18" ht="18" x14ac:dyDescent="0.35">
      <c r="C13" s="47" t="s">
        <v>10</v>
      </c>
      <c r="D13" s="47"/>
      <c r="E13" s="1"/>
      <c r="F13" s="1"/>
      <c r="G13" s="1"/>
      <c r="H13" s="1"/>
      <c r="I13" s="1"/>
    </row>
    <row r="14" spans="1:18" x14ac:dyDescent="0.3">
      <c r="C14" s="1"/>
      <c r="D14" s="1"/>
      <c r="E14" s="6"/>
      <c r="F14" s="1"/>
      <c r="G14" s="1"/>
      <c r="H14" s="1"/>
      <c r="I14" s="1"/>
    </row>
    <row r="15" spans="1:18" ht="18" customHeight="1" x14ac:dyDescent="0.3">
      <c r="C15" s="8" t="s">
        <v>2</v>
      </c>
      <c r="D15" s="8" t="s">
        <v>3</v>
      </c>
      <c r="E15" s="8" t="s">
        <v>4</v>
      </c>
      <c r="F15" s="8" t="s">
        <v>5</v>
      </c>
      <c r="G15" s="8" t="s">
        <v>6</v>
      </c>
      <c r="H15" s="8" t="s">
        <v>7</v>
      </c>
      <c r="I15" s="8" t="s">
        <v>8</v>
      </c>
      <c r="J15" s="8" t="s">
        <v>9</v>
      </c>
    </row>
    <row r="16" spans="1:18" s="13" customFormat="1" ht="18" customHeight="1" x14ac:dyDescent="0.25">
      <c r="C16" s="14" t="s">
        <v>48</v>
      </c>
      <c r="D16" s="14" t="s">
        <v>44</v>
      </c>
      <c r="E16" s="14" t="s">
        <v>45</v>
      </c>
      <c r="F16" s="14" t="s">
        <v>49</v>
      </c>
      <c r="G16" s="15">
        <v>100</v>
      </c>
      <c r="H16" s="15">
        <v>74</v>
      </c>
      <c r="I16" s="16">
        <v>4</v>
      </c>
      <c r="J16" s="16">
        <f>listeMarchandises[[#This Row],[Stock initial]]*listeMarchandises[[#This Row],[Prix unitaire]]</f>
        <v>296</v>
      </c>
    </row>
    <row r="17" spans="3:10" s="13" customFormat="1" ht="18" customHeight="1" x14ac:dyDescent="0.25">
      <c r="C17" s="14" t="s">
        <v>46</v>
      </c>
      <c r="D17" s="14" t="s">
        <v>44</v>
      </c>
      <c r="E17" s="14" t="s">
        <v>45</v>
      </c>
      <c r="F17" s="14" t="s">
        <v>47</v>
      </c>
      <c r="G17" s="15">
        <v>100</v>
      </c>
      <c r="H17" s="15">
        <v>26</v>
      </c>
      <c r="I17" s="16">
        <v>2</v>
      </c>
      <c r="J17" s="16">
        <f>listeMarchandises[[#This Row],[Stock initial]]*listeMarchandises[[#This Row],[Prix unitaire]]</f>
        <v>52</v>
      </c>
    </row>
    <row r="18" spans="3:10" s="13" customFormat="1" ht="18" customHeight="1" x14ac:dyDescent="0.25">
      <c r="C18" s="14" t="s">
        <v>43</v>
      </c>
      <c r="D18" s="14" t="s">
        <v>44</v>
      </c>
      <c r="E18" s="14" t="s">
        <v>45</v>
      </c>
      <c r="F18" s="14" t="s">
        <v>14</v>
      </c>
      <c r="G18" s="15">
        <v>100</v>
      </c>
      <c r="H18" s="15">
        <v>60</v>
      </c>
      <c r="I18" s="16">
        <v>0.2</v>
      </c>
      <c r="J18" s="16">
        <f>listeMarchandises[[#This Row],[Stock initial]]*listeMarchandises[[#This Row],[Prix unitaire]]</f>
        <v>12</v>
      </c>
    </row>
    <row r="19" spans="3:10" s="13" customFormat="1" ht="18" customHeight="1" x14ac:dyDescent="0.25">
      <c r="C19" s="14" t="s">
        <v>41</v>
      </c>
      <c r="D19" s="14" t="s">
        <v>42</v>
      </c>
      <c r="E19" s="14" t="s">
        <v>36</v>
      </c>
      <c r="F19" s="14" t="s">
        <v>14</v>
      </c>
      <c r="G19" s="15">
        <v>10</v>
      </c>
      <c r="H19" s="15">
        <v>0</v>
      </c>
      <c r="I19" s="16"/>
      <c r="J19" s="16">
        <f>listeMarchandises[[#This Row],[Stock initial]]*listeMarchandises[[#This Row],[Prix unitaire]]</f>
        <v>0</v>
      </c>
    </row>
    <row r="20" spans="3:10" s="13" customFormat="1" ht="18" customHeight="1" x14ac:dyDescent="0.25">
      <c r="C20" s="14" t="s">
        <v>39</v>
      </c>
      <c r="D20" s="14" t="s">
        <v>40</v>
      </c>
      <c r="E20" s="14" t="s">
        <v>36</v>
      </c>
      <c r="F20" s="14" t="s">
        <v>14</v>
      </c>
      <c r="G20" s="15">
        <v>10</v>
      </c>
      <c r="H20" s="15">
        <v>4</v>
      </c>
      <c r="I20" s="16">
        <v>150</v>
      </c>
      <c r="J20" s="16">
        <f>listeMarchandises[[#This Row],[Stock initial]]*listeMarchandises[[#This Row],[Prix unitaire]]</f>
        <v>600</v>
      </c>
    </row>
    <row r="21" spans="3:10" s="13" customFormat="1" ht="18" customHeight="1" x14ac:dyDescent="0.25">
      <c r="C21" s="14" t="s">
        <v>37</v>
      </c>
      <c r="D21" s="14" t="s">
        <v>38</v>
      </c>
      <c r="E21" s="14" t="s">
        <v>36</v>
      </c>
      <c r="F21" s="14" t="s">
        <v>14</v>
      </c>
      <c r="G21" s="15">
        <v>10</v>
      </c>
      <c r="H21" s="15">
        <v>3</v>
      </c>
      <c r="I21" s="16">
        <v>300</v>
      </c>
      <c r="J21" s="16">
        <f>listeMarchandises[[#This Row],[Stock initial]]*listeMarchandises[[#This Row],[Prix unitaire]]</f>
        <v>900</v>
      </c>
    </row>
    <row r="22" spans="3:10" s="13" customFormat="1" ht="18" customHeight="1" x14ac:dyDescent="0.25">
      <c r="C22" s="14" t="s">
        <v>34</v>
      </c>
      <c r="D22" s="14" t="s">
        <v>35</v>
      </c>
      <c r="E22" s="14" t="s">
        <v>36</v>
      </c>
      <c r="F22" s="14" t="s">
        <v>14</v>
      </c>
      <c r="G22" s="15">
        <v>10</v>
      </c>
      <c r="H22" s="15">
        <v>5</v>
      </c>
      <c r="I22" s="16">
        <v>700</v>
      </c>
      <c r="J22" s="16">
        <f>listeMarchandises[[#This Row],[Stock initial]]*listeMarchandises[[#This Row],[Prix unitaire]]</f>
        <v>3500</v>
      </c>
    </row>
    <row r="23" spans="3:10" s="13" customFormat="1" ht="18" customHeight="1" x14ac:dyDescent="0.25">
      <c r="C23" s="14" t="s">
        <v>32</v>
      </c>
      <c r="D23" s="14" t="s">
        <v>33</v>
      </c>
      <c r="E23" s="14" t="s">
        <v>31</v>
      </c>
      <c r="F23" s="14" t="s">
        <v>14</v>
      </c>
      <c r="G23" s="15">
        <v>10</v>
      </c>
      <c r="H23" s="15">
        <v>6</v>
      </c>
      <c r="I23" s="16">
        <v>400</v>
      </c>
      <c r="J23" s="16">
        <f>listeMarchandises[[#This Row],[Stock initial]]*listeMarchandises[[#This Row],[Prix unitaire]]</f>
        <v>2400</v>
      </c>
    </row>
    <row r="24" spans="3:10" s="13" customFormat="1" ht="18" customHeight="1" x14ac:dyDescent="0.25">
      <c r="C24" s="14" t="s">
        <v>29</v>
      </c>
      <c r="D24" s="14" t="s">
        <v>30</v>
      </c>
      <c r="E24" s="14" t="s">
        <v>31</v>
      </c>
      <c r="F24" s="14" t="s">
        <v>14</v>
      </c>
      <c r="G24" s="15">
        <v>10</v>
      </c>
      <c r="H24" s="15">
        <v>3</v>
      </c>
      <c r="I24" s="16">
        <v>750</v>
      </c>
      <c r="J24" s="16">
        <f>listeMarchandises[[#This Row],[Stock initial]]*listeMarchandises[[#This Row],[Prix unitaire]]</f>
        <v>2250</v>
      </c>
    </row>
    <row r="25" spans="3:10" s="13" customFormat="1" ht="18" customHeight="1" x14ac:dyDescent="0.25">
      <c r="C25" s="14" t="s">
        <v>15</v>
      </c>
      <c r="D25" s="14" t="s">
        <v>16</v>
      </c>
      <c r="E25" s="14" t="s">
        <v>13</v>
      </c>
      <c r="F25" s="14" t="s">
        <v>17</v>
      </c>
      <c r="G25" s="15">
        <v>10</v>
      </c>
      <c r="H25" s="15">
        <v>3</v>
      </c>
      <c r="I25" s="16">
        <v>1400</v>
      </c>
      <c r="J25" s="16">
        <f>listeMarchandises[[#This Row],[Stock initial]]*listeMarchandises[[#This Row],[Prix unitaire]]</f>
        <v>4200</v>
      </c>
    </row>
    <row r="26" spans="3:10" s="9" customFormat="1" ht="18" customHeight="1" x14ac:dyDescent="0.25">
      <c r="C26" s="10" t="s">
        <v>11</v>
      </c>
      <c r="D26" s="10" t="s">
        <v>12</v>
      </c>
      <c r="E26" s="10" t="s">
        <v>13</v>
      </c>
      <c r="F26" s="10" t="s">
        <v>14</v>
      </c>
      <c r="G26" s="11">
        <v>10</v>
      </c>
      <c r="H26" s="11">
        <v>5</v>
      </c>
      <c r="I26" s="12">
        <v>600</v>
      </c>
      <c r="J26" s="12">
        <f>listeMarchandises[[#This Row],[Stock initial]]*listeMarchandises[[#This Row],[Prix unitaire]]</f>
        <v>3000</v>
      </c>
    </row>
  </sheetData>
  <mergeCells count="3">
    <mergeCell ref="C4:G4"/>
    <mergeCell ref="C3:F3"/>
    <mergeCell ref="C13:D13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492CB-9EDC-4700-907C-255529748F74}">
  <sheetPr codeName="Feuil3"/>
  <dimension ref="A1:S10"/>
  <sheetViews>
    <sheetView zoomScale="90" zoomScaleNormal="90" workbookViewId="0">
      <selection activeCell="F16" sqref="F16"/>
    </sheetView>
  </sheetViews>
  <sheetFormatPr baseColWidth="10" defaultRowHeight="14.4" x14ac:dyDescent="0.3"/>
  <cols>
    <col min="1" max="1" width="11.5546875" style="1"/>
    <col min="2" max="2" width="9.77734375" style="1" customWidth="1"/>
    <col min="3" max="3" width="15.109375" style="1" customWidth="1"/>
    <col min="4" max="4" width="14.109375" style="1" customWidth="1"/>
    <col min="5" max="5" width="18" style="1" customWidth="1"/>
    <col min="6" max="6" width="25.21875" style="1" bestFit="1" customWidth="1"/>
    <col min="7" max="7" width="15" style="1" bestFit="1" customWidth="1"/>
    <col min="8" max="8" width="13.88671875" style="1" bestFit="1" customWidth="1"/>
    <col min="9" max="9" width="16.21875" style="1" customWidth="1"/>
    <col min="10" max="10" width="14.109375" style="1" customWidth="1"/>
    <col min="11" max="11" width="13" style="1" bestFit="1" customWidth="1"/>
    <col min="12" max="16384" width="11.5546875" style="1"/>
  </cols>
  <sheetData>
    <row r="1" spans="1:19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 ht="18" x14ac:dyDescent="0.35">
      <c r="A3" s="2"/>
      <c r="B3" s="3"/>
      <c r="C3" s="48" t="s">
        <v>18</v>
      </c>
      <c r="D3" s="48"/>
      <c r="E3" s="48"/>
      <c r="F3" s="48"/>
      <c r="G3" s="3"/>
      <c r="H3" s="3"/>
      <c r="I3" s="3"/>
      <c r="J3" s="3"/>
      <c r="K3" s="3"/>
      <c r="L3" s="3"/>
      <c r="M3" s="2"/>
      <c r="N3" s="2"/>
      <c r="O3" s="2"/>
      <c r="P3" s="2"/>
      <c r="Q3" s="2"/>
      <c r="R3" s="2"/>
      <c r="S3" s="2"/>
    </row>
    <row r="4" spans="1:19" x14ac:dyDescent="0.3">
      <c r="B4" s="3"/>
      <c r="C4" s="45" t="s">
        <v>19</v>
      </c>
      <c r="D4" s="45"/>
      <c r="E4" s="45"/>
      <c r="F4" s="45"/>
      <c r="G4" s="45"/>
      <c r="H4" s="3"/>
      <c r="I4" s="3"/>
      <c r="J4" s="3"/>
      <c r="K4" s="3"/>
      <c r="L4" s="3"/>
    </row>
    <row r="5" spans="1:19" ht="18" customHeight="1" x14ac:dyDescent="0.3">
      <c r="C5" s="8" t="s">
        <v>20</v>
      </c>
      <c r="D5" s="8" t="s">
        <v>21</v>
      </c>
      <c r="E5" s="8" t="s">
        <v>2</v>
      </c>
      <c r="F5" s="8" t="s">
        <v>3</v>
      </c>
      <c r="G5" s="8" t="s">
        <v>4</v>
      </c>
      <c r="H5" s="8" t="s">
        <v>5</v>
      </c>
      <c r="I5" s="8" t="s">
        <v>22</v>
      </c>
      <c r="J5" s="8" t="s">
        <v>23</v>
      </c>
      <c r="K5" s="8" t="s">
        <v>9</v>
      </c>
    </row>
    <row r="6" spans="1:19" s="31" customFormat="1" ht="18" customHeight="1" x14ac:dyDescent="0.3">
      <c r="C6" s="32">
        <f>C7+1</f>
        <v>5</v>
      </c>
      <c r="D6" s="33">
        <v>45597</v>
      </c>
      <c r="E6" s="34" t="s">
        <v>11</v>
      </c>
      <c r="F6" s="32" t="s">
        <v>12</v>
      </c>
      <c r="G6" s="32" t="s">
        <v>13</v>
      </c>
      <c r="H6" s="32" t="s">
        <v>14</v>
      </c>
      <c r="I6" s="37">
        <v>650</v>
      </c>
      <c r="J6" s="38">
        <v>10</v>
      </c>
      <c r="K6" s="32">
        <f>listeEntrees[[#This Row],[Coût d''achat]]*listeEntrees[[#This Row],[Quantité]]</f>
        <v>6500</v>
      </c>
    </row>
    <row r="7" spans="1:19" s="31" customFormat="1" ht="18" customHeight="1" x14ac:dyDescent="0.3">
      <c r="C7" s="32">
        <f>C8+1</f>
        <v>4</v>
      </c>
      <c r="D7" s="33">
        <v>45594</v>
      </c>
      <c r="E7" s="34" t="s">
        <v>34</v>
      </c>
      <c r="F7" s="32" t="s">
        <v>35</v>
      </c>
      <c r="G7" s="32" t="s">
        <v>36</v>
      </c>
      <c r="H7" s="32" t="s">
        <v>14</v>
      </c>
      <c r="I7" s="37">
        <v>700</v>
      </c>
      <c r="J7" s="38">
        <v>4</v>
      </c>
      <c r="K7" s="32">
        <f>listeEntrees[[#This Row],[Coût d''achat]]*listeEntrees[[#This Row],[Quantité]]</f>
        <v>2800</v>
      </c>
    </row>
    <row r="8" spans="1:19" s="31" customFormat="1" ht="18" customHeight="1" x14ac:dyDescent="0.3">
      <c r="C8" s="32">
        <f>C9+1</f>
        <v>3</v>
      </c>
      <c r="D8" s="33">
        <v>45593</v>
      </c>
      <c r="E8" s="34" t="s">
        <v>34</v>
      </c>
      <c r="F8" s="32" t="s">
        <v>35</v>
      </c>
      <c r="G8" s="32" t="s">
        <v>36</v>
      </c>
      <c r="H8" s="32" t="s">
        <v>14</v>
      </c>
      <c r="I8" s="37">
        <v>700</v>
      </c>
      <c r="J8" s="38">
        <v>5</v>
      </c>
      <c r="K8" s="32">
        <f>listeEntrees[[#This Row],[Coût d''achat]]*listeEntrees[[#This Row],[Quantité]]</f>
        <v>3500</v>
      </c>
    </row>
    <row r="9" spans="1:19" ht="18" customHeight="1" x14ac:dyDescent="0.3">
      <c r="B9" s="31"/>
      <c r="C9" s="32">
        <v>2</v>
      </c>
      <c r="D9" s="33">
        <v>45592</v>
      </c>
      <c r="E9" s="34" t="s">
        <v>43</v>
      </c>
      <c r="F9" s="35" t="s">
        <v>44</v>
      </c>
      <c r="G9" s="32" t="s">
        <v>45</v>
      </c>
      <c r="H9" s="34" t="s">
        <v>14</v>
      </c>
      <c r="I9" s="32">
        <v>0.19</v>
      </c>
      <c r="J9" s="30">
        <v>50</v>
      </c>
      <c r="K9" s="36">
        <f>listeEntrees[[#This Row],[Coût d''achat]]*listeEntrees[[#This Row],[Quantité]]</f>
        <v>9.5</v>
      </c>
    </row>
    <row r="10" spans="1:19" ht="18" customHeight="1" x14ac:dyDescent="0.3">
      <c r="C10" s="27">
        <v>1</v>
      </c>
      <c r="D10" s="28">
        <v>45592</v>
      </c>
      <c r="E10" s="27" t="s">
        <v>11</v>
      </c>
      <c r="F10" s="29" t="s">
        <v>12</v>
      </c>
      <c r="G10" s="27" t="s">
        <v>13</v>
      </c>
      <c r="H10" s="27" t="s">
        <v>14</v>
      </c>
      <c r="I10" s="27">
        <v>600</v>
      </c>
      <c r="J10" s="30">
        <v>7</v>
      </c>
      <c r="K10" s="26">
        <f>listeEntrees[[#This Row],[Coût d''achat]]*listeEntrees[[#This Row],[Quantité]]</f>
        <v>4200</v>
      </c>
    </row>
  </sheetData>
  <mergeCells count="2">
    <mergeCell ref="C3:F3"/>
    <mergeCell ref="C4:G4"/>
  </mergeCells>
  <dataValidations count="1">
    <dataValidation type="date" operator="greaterThan" allowBlank="1" showInputMessage="1" showErrorMessage="1" errorTitle="Date incorrecte" error="Veuillez saisir une date correcte" sqref="D6:D9" xr:uid="{B92ABCB2-B564-46A7-B9F5-902659A2BB41}">
      <formula1>45591</formula1>
    </dataValidation>
  </dataValidations>
  <pageMargins left="0.7" right="0.7" top="0.75" bottom="0.75" header="0.3" footer="0.3"/>
  <pageSetup paperSize="9" orientation="portrait" r:id="rId1"/>
  <ignoredErrors>
    <ignoredError sqref="F10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72956-606F-472A-B7BB-1B07048A186D}">
  <sheetPr codeName="Feuil4"/>
  <dimension ref="A1:S8"/>
  <sheetViews>
    <sheetView topLeftCell="B1" workbookViewId="0">
      <selection activeCell="D6" sqref="D6"/>
    </sheetView>
  </sheetViews>
  <sheetFormatPr baseColWidth="10" defaultRowHeight="14.4" x14ac:dyDescent="0.3"/>
  <cols>
    <col min="1" max="1" width="11.5546875" style="1"/>
    <col min="2" max="2" width="9.77734375" style="1" customWidth="1"/>
    <col min="3" max="3" width="15.109375" style="1" customWidth="1"/>
    <col min="4" max="4" width="14.109375" style="1" customWidth="1"/>
    <col min="5" max="5" width="18" style="1" customWidth="1"/>
    <col min="6" max="6" width="17.6640625" style="1" customWidth="1"/>
    <col min="7" max="7" width="15" style="1" bestFit="1" customWidth="1"/>
    <col min="8" max="8" width="13.88671875" style="1" bestFit="1" customWidth="1"/>
    <col min="9" max="9" width="16.21875" style="1" customWidth="1"/>
    <col min="10" max="10" width="14.109375" style="1" customWidth="1"/>
    <col min="11" max="11" width="13.109375" style="1" bestFit="1" customWidth="1"/>
    <col min="12" max="16384" width="11.5546875" style="1"/>
  </cols>
  <sheetData>
    <row r="1" spans="1:19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 ht="18" x14ac:dyDescent="0.35">
      <c r="A3" s="2"/>
      <c r="B3" s="3"/>
      <c r="C3" s="48" t="s">
        <v>24</v>
      </c>
      <c r="D3" s="48"/>
      <c r="E3" s="48"/>
      <c r="F3" s="48"/>
      <c r="G3" s="3"/>
      <c r="H3" s="3"/>
      <c r="I3" s="3"/>
      <c r="J3" s="3"/>
      <c r="K3" s="3"/>
      <c r="L3" s="3"/>
      <c r="M3" s="2"/>
      <c r="N3" s="2"/>
      <c r="O3" s="2"/>
      <c r="P3" s="2"/>
      <c r="Q3" s="2"/>
      <c r="R3" s="2"/>
      <c r="S3" s="2"/>
    </row>
    <row r="4" spans="1:19" x14ac:dyDescent="0.3">
      <c r="B4" s="3"/>
      <c r="C4" s="45" t="s">
        <v>25</v>
      </c>
      <c r="D4" s="45"/>
      <c r="E4" s="45"/>
      <c r="F4" s="45"/>
      <c r="G4" s="45"/>
      <c r="H4" s="3"/>
      <c r="I4" s="3"/>
      <c r="J4" s="3"/>
      <c r="K4" s="3"/>
      <c r="L4" s="3"/>
    </row>
    <row r="5" spans="1:19" ht="18" customHeight="1" x14ac:dyDescent="0.3">
      <c r="C5" s="8" t="s">
        <v>20</v>
      </c>
      <c r="D5" s="8" t="s">
        <v>21</v>
      </c>
      <c r="E5" s="8" t="s">
        <v>2</v>
      </c>
      <c r="F5" s="8" t="s">
        <v>3</v>
      </c>
      <c r="G5" s="8" t="s">
        <v>4</v>
      </c>
      <c r="H5" s="8" t="s">
        <v>5</v>
      </c>
      <c r="I5" s="8" t="s">
        <v>26</v>
      </c>
      <c r="J5" s="8" t="s">
        <v>23</v>
      </c>
      <c r="K5" s="8" t="s">
        <v>9</v>
      </c>
    </row>
    <row r="6" spans="1:19" s="31" customFormat="1" ht="18" customHeight="1" x14ac:dyDescent="0.3">
      <c r="C6" s="38">
        <v>3</v>
      </c>
      <c r="D6" s="33">
        <v>45594</v>
      </c>
      <c r="E6" s="34" t="s">
        <v>43</v>
      </c>
      <c r="F6" s="32" t="s">
        <v>44</v>
      </c>
      <c r="G6" s="32" t="s">
        <v>45</v>
      </c>
      <c r="H6" s="32" t="s">
        <v>14</v>
      </c>
      <c r="I6" s="37">
        <v>0.25</v>
      </c>
      <c r="J6" s="38">
        <v>60</v>
      </c>
      <c r="K6" s="32">
        <f>listeSortie[[#This Row],[Quantité]]*listeSortie[[#This Row],[Prix de vente]]</f>
        <v>15</v>
      </c>
    </row>
    <row r="7" spans="1:19" s="31" customFormat="1" ht="18" customHeight="1" x14ac:dyDescent="0.3">
      <c r="C7" s="38">
        <v>2</v>
      </c>
      <c r="D7" s="33">
        <v>45594</v>
      </c>
      <c r="E7" s="34" t="s">
        <v>15</v>
      </c>
      <c r="F7" s="32" t="s">
        <v>16</v>
      </c>
      <c r="G7" s="32" t="s">
        <v>13</v>
      </c>
      <c r="H7" s="32" t="s">
        <v>17</v>
      </c>
      <c r="I7" s="37">
        <v>1500</v>
      </c>
      <c r="J7" s="38">
        <v>2</v>
      </c>
      <c r="K7" s="32">
        <f>listeSortie[[#This Row],[Quantité]]*listeSortie[[#This Row],[Prix de vente]]</f>
        <v>3000</v>
      </c>
    </row>
    <row r="8" spans="1:19" s="31" customFormat="1" ht="18" customHeight="1" x14ac:dyDescent="0.3">
      <c r="C8" s="38">
        <v>1</v>
      </c>
      <c r="D8" s="33">
        <v>45594</v>
      </c>
      <c r="E8" s="34" t="s">
        <v>11</v>
      </c>
      <c r="F8" s="32" t="s">
        <v>12</v>
      </c>
      <c r="G8" s="32" t="s">
        <v>13</v>
      </c>
      <c r="H8" s="32" t="s">
        <v>14</v>
      </c>
      <c r="I8" s="37">
        <v>680</v>
      </c>
      <c r="J8" s="38">
        <v>3</v>
      </c>
      <c r="K8" s="36">
        <f>listeSortie[[#This Row],[Quantité]]*listeSortie[[#This Row],[Prix de vente]]</f>
        <v>2040</v>
      </c>
    </row>
  </sheetData>
  <mergeCells count="2">
    <mergeCell ref="C3:F3"/>
    <mergeCell ref="C4:G4"/>
  </mergeCells>
  <dataValidations count="1">
    <dataValidation type="date" operator="greaterThan" allowBlank="1" showInputMessage="1" showErrorMessage="1" errorTitle="Date incorrecte" error="Veuillez saisir une date correcte" sqref="D6:D8" xr:uid="{EA8EEE26-A630-4D4D-BAFF-912CF50ACC74}">
      <formula1>45591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EF597-FBA3-4E00-B596-FDB720A721E6}">
  <sheetPr codeName="Feuil5"/>
  <dimension ref="A1:V17"/>
  <sheetViews>
    <sheetView tabSelected="1" zoomScale="80" zoomScaleNormal="80" workbookViewId="0">
      <selection activeCell="E20" sqref="E20"/>
    </sheetView>
  </sheetViews>
  <sheetFormatPr baseColWidth="10" defaultRowHeight="14.4" x14ac:dyDescent="0.3"/>
  <cols>
    <col min="1" max="1" width="11.5546875" style="1"/>
    <col min="2" max="2" width="4.44140625" style="1" customWidth="1"/>
    <col min="3" max="3" width="12.109375" style="49" customWidth="1"/>
    <col min="4" max="4" width="25.21875" style="53" bestFit="1" customWidth="1"/>
    <col min="5" max="5" width="13" style="53" customWidth="1"/>
    <col min="6" max="6" width="17.44140625" style="50" bestFit="1" customWidth="1"/>
    <col min="7" max="7" width="15" style="49" bestFit="1" customWidth="1"/>
    <col min="8" max="8" width="13.88671875" style="49" bestFit="1" customWidth="1"/>
    <col min="9" max="9" width="10.33203125" style="49" customWidth="1"/>
    <col min="10" max="10" width="9.6640625" style="49" customWidth="1"/>
    <col min="11" max="11" width="12.6640625" style="49" customWidth="1"/>
    <col min="12" max="12" width="14.44140625" style="49" bestFit="1" customWidth="1"/>
    <col min="13" max="13" width="10" style="49" customWidth="1"/>
    <col min="14" max="14" width="16.6640625" style="50" bestFit="1" customWidth="1"/>
    <col min="15" max="16384" width="11.5546875" style="1"/>
  </cols>
  <sheetData>
    <row r="1" spans="1:22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ht="18" x14ac:dyDescent="0.35">
      <c r="A3" s="2"/>
      <c r="B3" s="3"/>
      <c r="C3" s="48" t="s">
        <v>50</v>
      </c>
      <c r="D3" s="48"/>
      <c r="E3" s="48"/>
      <c r="F3" s="48"/>
      <c r="G3" s="3"/>
      <c r="H3" s="3"/>
      <c r="I3" s="3"/>
      <c r="J3" s="3"/>
      <c r="K3" s="3"/>
      <c r="L3" s="3"/>
      <c r="M3" s="3"/>
      <c r="N3" s="3"/>
      <c r="O3" s="3"/>
      <c r="P3" s="2"/>
      <c r="Q3" s="2"/>
      <c r="R3" s="2"/>
      <c r="S3" s="2"/>
      <c r="T3" s="2"/>
      <c r="U3" s="2"/>
      <c r="V3" s="2"/>
    </row>
    <row r="4" spans="1:22" ht="18" customHeight="1" x14ac:dyDescent="0.3">
      <c r="C4" s="8" t="s">
        <v>2</v>
      </c>
      <c r="D4" s="8" t="s">
        <v>3</v>
      </c>
      <c r="E4" s="8" t="s">
        <v>4</v>
      </c>
      <c r="F4" s="8" t="s">
        <v>5</v>
      </c>
      <c r="G4" s="8" t="s">
        <v>6</v>
      </c>
      <c r="H4" s="8" t="s">
        <v>7</v>
      </c>
      <c r="I4" s="8" t="s">
        <v>51</v>
      </c>
      <c r="J4" s="8" t="s">
        <v>52</v>
      </c>
      <c r="K4" s="8" t="s">
        <v>53</v>
      </c>
      <c r="L4" s="8" t="s">
        <v>54</v>
      </c>
      <c r="M4" s="8" t="s">
        <v>55</v>
      </c>
      <c r="N4" s="8" t="s">
        <v>56</v>
      </c>
    </row>
    <row r="5" spans="1:22" ht="18" customHeight="1" x14ac:dyDescent="0.3">
      <c r="C5" s="38" t="s">
        <v>11</v>
      </c>
      <c r="D5" s="40" t="str">
        <f>VLOOKUP(listeInventaire[[#This Row],[Référence]],listeMarchandises[],2,FALSE)</f>
        <v>Google search</v>
      </c>
      <c r="E5" s="34" t="str">
        <f>VLOOKUP(listeInventaire[[#This Row],[Référence]],listeMarchandises[],3,FALSE)</f>
        <v>Smartphone</v>
      </c>
      <c r="F5" s="32" t="str">
        <f>VLOOKUP(listeInventaire[[#This Row],[Référence]],listeMarchandises[],4,FALSE)</f>
        <v>1 unité</v>
      </c>
      <c r="G5" s="38">
        <f>VLOOKUP(listeInventaire[[#This Row],[Référence]],listeMarchandises[],5,FALSE)</f>
        <v>10</v>
      </c>
      <c r="H5" s="38">
        <f>VLOOKUP(listeInventaire[[#This Row],[Référence]],listeMarchandises[],6,FALSE)</f>
        <v>5</v>
      </c>
      <c r="I5" s="42">
        <f>SUMIF(listeEntrees[Référence],listeInventaire[Référence],listeEntrees[Quantité])</f>
        <v>17</v>
      </c>
      <c r="J5" s="43">
        <f>SUMIF(listeSortie[Référence],listeInventaire[Référence],listeSortie[Quantité])</f>
        <v>3</v>
      </c>
      <c r="K5" s="43">
        <f>listeInventaire[[#This Row],[Stock initial]]+listeInventaire[[#This Row],[Entrées]]-listeInventaire[[#This Row],[Sorties]]</f>
        <v>19</v>
      </c>
      <c r="L5" s="43">
        <f>IFERROR((VLOOKUP(listeInventaire[Référence],listeMarchandises[],8,FALSE)+SUMIF(listeEntrees[Référence],listeInventaire[Référence],listeEntrees[Total]))/((VLOOKUP(listeInventaire[Référence],listeMarchandises[],6,FALSE)+SUMIF(listeEntrees[Référence],listeInventaire[Référence],listeEntrees[Quantité]))),  0)</f>
        <v>622.72727272727275</v>
      </c>
      <c r="M5" s="43">
        <f>listeInventaire[[#This Row],[CUMP]]*listeInventaire[[#This Row],[Stock final]]</f>
        <v>11831.818181818182</v>
      </c>
      <c r="N5" s="36" t="str">
        <f>IF(listeInventaire[[#This Row],[Stock final]]&gt;listeInventaire[[#This Row],[Seuil d''alerte]],"Stock normal",IF(listeInventaire[[#This Row],[Stock final]]=0,"Non disponible","Stock faible"))</f>
        <v>Stock normal</v>
      </c>
    </row>
    <row r="6" spans="1:22" ht="18" customHeight="1" x14ac:dyDescent="0.3">
      <c r="C6" s="38" t="s">
        <v>15</v>
      </c>
      <c r="D6" s="40" t="str">
        <f>VLOOKUP(listeInventaire[[#This Row],[Référence]],listeMarchandises[],2,FALSE)</f>
        <v>IPHONE 15 PRO</v>
      </c>
      <c r="E6" s="34" t="str">
        <f>VLOOKUP(listeInventaire[[#This Row],[Référence]],listeMarchandises[],3,FALSE)</f>
        <v>Smartphone</v>
      </c>
      <c r="F6" s="32" t="str">
        <f>VLOOKUP(listeInventaire[[#This Row],[Référence]],listeMarchandises[],4,FALSE)</f>
        <v>01 Unité</v>
      </c>
      <c r="G6" s="38">
        <f>VLOOKUP(listeInventaire[[#This Row],[Référence]],listeMarchandises[],5,FALSE)</f>
        <v>10</v>
      </c>
      <c r="H6" s="38">
        <f>VLOOKUP(listeInventaire[[#This Row],[Référence]],listeMarchandises[],6,FALSE)</f>
        <v>3</v>
      </c>
      <c r="I6" s="42">
        <f>SUMIF(listeEntrees[Référence],listeInventaire[Référence],listeEntrees[Quantité])</f>
        <v>0</v>
      </c>
      <c r="J6" s="43">
        <f>SUMIF(listeSortie[Référence],listeInventaire[Référence],listeSortie[Quantité])</f>
        <v>2</v>
      </c>
      <c r="K6" s="43">
        <f>listeInventaire[[#This Row],[Stock initial]]+listeInventaire[[#This Row],[Entrées]]-listeInventaire[[#This Row],[Sorties]]</f>
        <v>1</v>
      </c>
      <c r="L6" s="43">
        <f>IFERROR((VLOOKUP(listeInventaire[Référence],listeMarchandises[],8,FALSE)+SUMIF(listeEntrees[Référence],listeInventaire[Référence],listeEntrees[Total]))/((VLOOKUP(listeInventaire[Référence],listeMarchandises[],6,FALSE)+SUMIF(listeEntrees[Référence],listeInventaire[Référence],listeEntrees[Quantité]))),  0)</f>
        <v>1400</v>
      </c>
      <c r="M6" s="43">
        <f>listeInventaire[[#This Row],[CUMP]]*listeInventaire[[#This Row],[Stock final]]</f>
        <v>1400</v>
      </c>
      <c r="N6" s="36" t="str">
        <f>IF(listeInventaire[[#This Row],[Stock final]]&gt;listeInventaire[[#This Row],[Seuil d''alerte]],"Stock normal",IF(listeInventaire[[#This Row],[Stock final]]=0,"Non disponible","Stock faible"))</f>
        <v>Stock faible</v>
      </c>
    </row>
    <row r="7" spans="1:22" ht="18" customHeight="1" x14ac:dyDescent="0.3">
      <c r="C7" s="38" t="s">
        <v>43</v>
      </c>
      <c r="D7" s="40" t="str">
        <f>VLOOKUP(listeInventaire[[#This Row],[Référence]],listeMarchandises[],2,FALSE)</f>
        <v>Oreo</v>
      </c>
      <c r="E7" s="34" t="str">
        <f>VLOOKUP(listeInventaire[[#This Row],[Référence]],listeMarchandises[],3,FALSE)</f>
        <v>Biscuits</v>
      </c>
      <c r="F7" s="32" t="str">
        <f>VLOOKUP(listeInventaire[[#This Row],[Référence]],listeMarchandises[],4,FALSE)</f>
        <v>1 unité</v>
      </c>
      <c r="G7" s="38">
        <f>VLOOKUP(listeInventaire[[#This Row],[Référence]],listeMarchandises[],5,FALSE)</f>
        <v>100</v>
      </c>
      <c r="H7" s="38">
        <f>VLOOKUP(listeInventaire[[#This Row],[Référence]],listeMarchandises[],6,FALSE)</f>
        <v>60</v>
      </c>
      <c r="I7" s="42">
        <f>SUMIF(listeEntrees[Référence],listeInventaire[Référence],listeEntrees[Quantité])</f>
        <v>50</v>
      </c>
      <c r="J7" s="43">
        <f>SUMIF(listeSortie[Référence],listeInventaire[Référence],listeSortie[Quantité])</f>
        <v>60</v>
      </c>
      <c r="K7" s="43">
        <f>listeInventaire[[#This Row],[Stock initial]]+listeInventaire[[#This Row],[Entrées]]-listeInventaire[[#This Row],[Sorties]]</f>
        <v>50</v>
      </c>
      <c r="L7" s="43">
        <f>IFERROR((VLOOKUP(listeInventaire[Référence],listeMarchandises[],8,FALSE)+SUMIF(listeEntrees[Référence],listeInventaire[Référence],listeEntrees[Total]))/((VLOOKUP(listeInventaire[Référence],listeMarchandises[],6,FALSE)+SUMIF(listeEntrees[Référence],listeInventaire[Référence],listeEntrees[Quantité]))),  0)</f>
        <v>0.19545454545454546</v>
      </c>
      <c r="M7" s="43">
        <f>listeInventaire[[#This Row],[CUMP]]*listeInventaire[[#This Row],[Stock final]]</f>
        <v>9.7727272727272734</v>
      </c>
      <c r="N7" s="36" t="str">
        <f>IF(listeInventaire[[#This Row],[Stock final]]&gt;listeInventaire[[#This Row],[Seuil d''alerte]],"Stock normal",IF(listeInventaire[[#This Row],[Stock final]]=0,"Non disponible","Stock faible"))</f>
        <v>Stock faible</v>
      </c>
    </row>
    <row r="8" spans="1:22" ht="18" customHeight="1" x14ac:dyDescent="0.3">
      <c r="C8" s="38" t="s">
        <v>46</v>
      </c>
      <c r="D8" s="40" t="str">
        <f>VLOOKUP(listeInventaire[[#This Row],[Référence]],listeMarchandises[],2,FALSE)</f>
        <v>Oreo</v>
      </c>
      <c r="E8" s="34" t="str">
        <f>VLOOKUP(listeInventaire[[#This Row],[Référence]],listeMarchandises[],3,FALSE)</f>
        <v>Biscuits</v>
      </c>
      <c r="F8" s="32" t="str">
        <f>VLOOKUP(listeInventaire[[#This Row],[Référence]],listeMarchandises[],4,FALSE)</f>
        <v>Pack de 10 unités</v>
      </c>
      <c r="G8" s="38">
        <f>VLOOKUP(listeInventaire[[#This Row],[Référence]],listeMarchandises[],5,FALSE)</f>
        <v>100</v>
      </c>
      <c r="H8" s="38">
        <f>VLOOKUP(listeInventaire[[#This Row],[Référence]],listeMarchandises[],6,FALSE)</f>
        <v>26</v>
      </c>
      <c r="I8" s="42">
        <f>SUMIF(listeEntrees[Référence],listeInventaire[Référence],listeEntrees[Quantité])</f>
        <v>0</v>
      </c>
      <c r="J8" s="43">
        <f>SUMIF(listeSortie[Référence],listeInventaire[Référence],listeSortie[Quantité])</f>
        <v>0</v>
      </c>
      <c r="K8" s="43">
        <f>listeInventaire[[#This Row],[Stock initial]]+listeInventaire[[#This Row],[Entrées]]-listeInventaire[[#This Row],[Sorties]]</f>
        <v>26</v>
      </c>
      <c r="L8" s="43">
        <f>IFERROR((VLOOKUP(listeInventaire[Référence],listeMarchandises[],8,FALSE)+SUMIF(listeEntrees[Référence],listeInventaire[Référence],listeEntrees[Total]))/((VLOOKUP(listeInventaire[Référence],listeMarchandises[],6,FALSE)+SUMIF(listeEntrees[Référence],listeInventaire[Référence],listeEntrees[Quantité]))),  0)</f>
        <v>2</v>
      </c>
      <c r="M8" s="43">
        <f>listeInventaire[[#This Row],[CUMP]]*listeInventaire[[#This Row],[Stock final]]</f>
        <v>52</v>
      </c>
      <c r="N8" s="36" t="str">
        <f>IF(listeInventaire[[#This Row],[Stock final]]&gt;listeInventaire[[#This Row],[Seuil d''alerte]],"Stock normal",IF(listeInventaire[[#This Row],[Stock final]]=0,"Non disponible","Stock faible"))</f>
        <v>Stock faible</v>
      </c>
    </row>
    <row r="9" spans="1:22" s="31" customFormat="1" ht="18" customHeight="1" x14ac:dyDescent="0.3">
      <c r="C9" s="38" t="s">
        <v>48</v>
      </c>
      <c r="D9" s="40" t="str">
        <f>VLOOKUP(listeInventaire[[#This Row],[Référence]],listeMarchandises[],2,FALSE)</f>
        <v>Oreo</v>
      </c>
      <c r="E9" s="34" t="str">
        <f>VLOOKUP(listeInventaire[[#This Row],[Référence]],listeMarchandises[],3,FALSE)</f>
        <v>Biscuits</v>
      </c>
      <c r="F9" s="32" t="str">
        <f>VLOOKUP(listeInventaire[[#This Row],[Référence]],listeMarchandises[],4,FALSE)</f>
        <v>Pack de 50 unités</v>
      </c>
      <c r="G9" s="38">
        <f>VLOOKUP(listeInventaire[[#This Row],[Référence]],listeMarchandises[],5,FALSE)</f>
        <v>100</v>
      </c>
      <c r="H9" s="38">
        <f>VLOOKUP(listeInventaire[[#This Row],[Référence]],listeMarchandises[],6,FALSE)</f>
        <v>74</v>
      </c>
      <c r="I9" s="41">
        <f>SUMIF(listeEntrees[Référence],listeInventaire[Référence],listeEntrees[Quantité])</f>
        <v>0</v>
      </c>
      <c r="J9" s="41">
        <f>SUMIF(listeSortie[Référence],listeInventaire[Référence],listeSortie[Quantité])</f>
        <v>0</v>
      </c>
      <c r="K9" s="43">
        <f>listeInventaire[[#This Row],[Stock initial]]+listeInventaire[[#This Row],[Entrées]]-listeInventaire[[#This Row],[Sorties]]</f>
        <v>74</v>
      </c>
      <c r="L9" s="43">
        <f>IFERROR((VLOOKUP(listeInventaire[Référence],listeMarchandises[],8,FALSE)+SUMIF(listeEntrees[Référence],listeInventaire[Référence],listeEntrees[Total]))/((VLOOKUP(listeInventaire[Référence],listeMarchandises[],6,FALSE)+SUMIF(listeEntrees[Référence],listeInventaire[Référence],listeEntrees[Quantité]))),  0)</f>
        <v>4</v>
      </c>
      <c r="M9" s="43">
        <f>listeInventaire[[#This Row],[CUMP]]*listeInventaire[[#This Row],[Stock final]]</f>
        <v>296</v>
      </c>
      <c r="N9" s="36" t="str">
        <f>IF(listeInventaire[[#This Row],[Stock final]]&gt;listeInventaire[[#This Row],[Seuil d''alerte]],"Stock normal",IF(listeInventaire[[#This Row],[Stock final]]=0,"Non disponible","Stock faible"))</f>
        <v>Stock faible</v>
      </c>
    </row>
    <row r="10" spans="1:22" s="31" customFormat="1" ht="18" customHeight="1" x14ac:dyDescent="0.3">
      <c r="C10" s="38" t="s">
        <v>34</v>
      </c>
      <c r="D10" s="40" t="str">
        <f>VLOOKUP(listeInventaire[[#This Row],[Référence]],listeMarchandises[],2,FALSE)</f>
        <v>Réfrigérateur WHIRLPOOL</v>
      </c>
      <c r="E10" s="34" t="str">
        <f>VLOOKUP(listeInventaire[[#This Row],[Référence]],listeMarchandises[],3,FALSE)</f>
        <v>Electro</v>
      </c>
      <c r="F10" s="32" t="str">
        <f>VLOOKUP(listeInventaire[[#This Row],[Référence]],listeMarchandises[],4,FALSE)</f>
        <v>1 unité</v>
      </c>
      <c r="G10" s="38">
        <f>VLOOKUP(listeInventaire[[#This Row],[Référence]],listeMarchandises[],5,FALSE)</f>
        <v>10</v>
      </c>
      <c r="H10" s="38">
        <f>VLOOKUP(listeInventaire[[#This Row],[Référence]],listeMarchandises[],6,FALSE)</f>
        <v>5</v>
      </c>
      <c r="I10" s="41">
        <f>SUMIF(listeEntrees[Référence],listeInventaire[Référence],listeEntrees[Quantité])</f>
        <v>9</v>
      </c>
      <c r="J10" s="41">
        <f>SUMIF(listeSortie[Référence],listeInventaire[Référence],listeSortie[Quantité])</f>
        <v>0</v>
      </c>
      <c r="K10" s="43">
        <f>listeInventaire[[#This Row],[Stock initial]]+listeInventaire[[#This Row],[Entrées]]-listeInventaire[[#This Row],[Sorties]]</f>
        <v>14</v>
      </c>
      <c r="L10" s="43">
        <f>IFERROR((VLOOKUP(listeInventaire[Référence],listeMarchandises[],8,FALSE)+SUMIF(listeEntrees[Référence],listeInventaire[Référence],listeEntrees[Total]))/((VLOOKUP(listeInventaire[Référence],listeMarchandises[],6,FALSE)+SUMIF(listeEntrees[Référence],listeInventaire[Référence],listeEntrees[Quantité]))),  0)</f>
        <v>700</v>
      </c>
      <c r="M10" s="43">
        <f>listeInventaire[[#This Row],[CUMP]]*listeInventaire[[#This Row],[Stock final]]</f>
        <v>9800</v>
      </c>
      <c r="N10" s="36" t="str">
        <f>IF(listeInventaire[[#This Row],[Stock final]]&gt;listeInventaire[[#This Row],[Seuil d''alerte]],"Stock normal",IF(listeInventaire[[#This Row],[Stock final]]=0,"Non disponible","Stock faible"))</f>
        <v>Stock normal</v>
      </c>
    </row>
    <row r="11" spans="1:22" ht="18" customHeight="1" x14ac:dyDescent="0.3">
      <c r="B11" s="31"/>
      <c r="C11" s="38" t="s">
        <v>37</v>
      </c>
      <c r="D11" s="40" t="str">
        <f>VLOOKUP(listeInventaire[[#This Row],[Référence]],listeMarchandises[],2,FALSE)</f>
        <v>Réfrigérateur SIERA</v>
      </c>
      <c r="E11" s="34" t="str">
        <f>VLOOKUP(listeInventaire[[#This Row],[Référence]],listeMarchandises[],3,FALSE)</f>
        <v>Electro</v>
      </c>
      <c r="F11" s="35" t="str">
        <f>VLOOKUP(listeInventaire[[#This Row],[Référence]],listeMarchandises[],4,FALSE)</f>
        <v>1 unité</v>
      </c>
      <c r="G11" s="38">
        <f>VLOOKUP(listeInventaire[[#This Row],[Référence]],listeMarchandises[],5,FALSE)</f>
        <v>10</v>
      </c>
      <c r="H11" s="38">
        <f>VLOOKUP(listeInventaire[[#This Row],[Référence]],listeMarchandises[],6,FALSE)</f>
        <v>3</v>
      </c>
      <c r="I11" s="41">
        <f>SUMIF(listeEntrees[Référence],listeInventaire[Référence],listeEntrees[Quantité])</f>
        <v>0</v>
      </c>
      <c r="J11" s="44">
        <f>SUMIF(listeSortie[Référence],listeInventaire[Référence],listeSortie[Quantité])</f>
        <v>0</v>
      </c>
      <c r="K11" s="43">
        <f>listeInventaire[[#This Row],[Stock initial]]+listeInventaire[[#This Row],[Entrées]]-listeInventaire[[#This Row],[Sorties]]</f>
        <v>3</v>
      </c>
      <c r="L11" s="43">
        <f>IFERROR((VLOOKUP(listeInventaire[Référence],listeMarchandises[],8,FALSE)+SUMIF(listeEntrees[Référence],listeInventaire[Référence],listeEntrees[Total]))/((VLOOKUP(listeInventaire[Référence],listeMarchandises[],6,FALSE)+SUMIF(listeEntrees[Référence],listeInventaire[Référence],listeEntrees[Quantité]))),  0)</f>
        <v>300</v>
      </c>
      <c r="M11" s="43">
        <f>listeInventaire[[#This Row],[CUMP]]*listeInventaire[[#This Row],[Stock final]]</f>
        <v>900</v>
      </c>
      <c r="N11" s="36" t="str">
        <f>IF(listeInventaire[[#This Row],[Stock final]]&gt;listeInventaire[[#This Row],[Seuil d''alerte]],"Stock normal",IF(listeInventaire[[#This Row],[Stock final]]=0,"Non disponible","Stock faible"))</f>
        <v>Stock faible</v>
      </c>
    </row>
    <row r="12" spans="1:22" ht="18" customHeight="1" x14ac:dyDescent="0.3">
      <c r="B12" s="31"/>
      <c r="C12" s="38" t="s">
        <v>39</v>
      </c>
      <c r="D12" s="40" t="str">
        <f>VLOOKUP(listeInventaire[[#This Row],[Référence]],listeMarchandises[],2,FALSE)</f>
        <v>Cuisinière SIERA</v>
      </c>
      <c r="E12" s="34" t="str">
        <f>VLOOKUP(listeInventaire[[#This Row],[Référence]],listeMarchandises[],3,FALSE)</f>
        <v>Electro</v>
      </c>
      <c r="F12" s="35" t="str">
        <f>VLOOKUP(listeInventaire[[#This Row],[Référence]],listeMarchandises[],4,FALSE)</f>
        <v>1 unité</v>
      </c>
      <c r="G12" s="38">
        <f>VLOOKUP(listeInventaire[[#This Row],[Référence]],listeMarchandises[],5,FALSE)</f>
        <v>10</v>
      </c>
      <c r="H12" s="38">
        <f>VLOOKUP(listeInventaire[[#This Row],[Référence]],listeMarchandises[],6,FALSE)</f>
        <v>4</v>
      </c>
      <c r="I12" s="41">
        <f>SUMIF(listeEntrees[Référence],listeInventaire[Référence],listeEntrees[Quantité])</f>
        <v>0</v>
      </c>
      <c r="J12" s="43">
        <f>SUMIF(listeSortie[Référence],listeInventaire[Référence],listeSortie[Quantité])</f>
        <v>0</v>
      </c>
      <c r="K12" s="43">
        <f>listeInventaire[[#This Row],[Stock initial]]+listeInventaire[[#This Row],[Entrées]]-listeInventaire[[#This Row],[Sorties]]</f>
        <v>4</v>
      </c>
      <c r="L12" s="43">
        <f>IFERROR((VLOOKUP(listeInventaire[Référence],listeMarchandises[],8,FALSE)+SUMIF(listeEntrees[Référence],listeInventaire[Référence],listeEntrees[Total]))/((VLOOKUP(listeInventaire[Référence],listeMarchandises[],6,FALSE)+SUMIF(listeEntrees[Référence],listeInventaire[Référence],listeEntrees[Quantité]))),  0)</f>
        <v>150</v>
      </c>
      <c r="M12" s="43">
        <f>listeInventaire[[#This Row],[CUMP]]*listeInventaire[[#This Row],[Stock final]]</f>
        <v>600</v>
      </c>
      <c r="N12" s="36" t="str">
        <f>IF(listeInventaire[[#This Row],[Stock final]]&gt;listeInventaire[[#This Row],[Seuil d''alerte]],"Stock normal",IF(listeInventaire[[#This Row],[Stock final]]=0,"Non disponible","Stock faible"))</f>
        <v>Stock faible</v>
      </c>
    </row>
    <row r="13" spans="1:22" ht="18" customHeight="1" x14ac:dyDescent="0.3">
      <c r="B13" s="31"/>
      <c r="C13" s="38" t="s">
        <v>41</v>
      </c>
      <c r="D13" s="40" t="str">
        <f>VLOOKUP(listeInventaire[[#This Row],[Référence]],listeMarchandises[],2,FALSE)</f>
        <v>Cuisinière CANDY</v>
      </c>
      <c r="E13" s="34" t="str">
        <f>VLOOKUP(listeInventaire[[#This Row],[Référence]],listeMarchandises[],3,FALSE)</f>
        <v>Electro</v>
      </c>
      <c r="F13" s="35" t="str">
        <f>VLOOKUP(listeInventaire[[#This Row],[Référence]],listeMarchandises[],4,FALSE)</f>
        <v>1 unité</v>
      </c>
      <c r="G13" s="38">
        <f>VLOOKUP(listeInventaire[[#This Row],[Référence]],listeMarchandises[],5,FALSE)</f>
        <v>10</v>
      </c>
      <c r="H13" s="38">
        <f>VLOOKUP(listeInventaire[[#This Row],[Référence]],listeMarchandises[],6,FALSE)</f>
        <v>0</v>
      </c>
      <c r="I13" s="41">
        <f>SUMIF(listeEntrees[Référence],listeInventaire[Référence],listeEntrees[Quantité])</f>
        <v>0</v>
      </c>
      <c r="J13" s="43">
        <f>SUMIF(listeSortie[Référence],listeInventaire[Référence],listeSortie[Quantité])</f>
        <v>0</v>
      </c>
      <c r="K13" s="43">
        <f>listeInventaire[[#This Row],[Stock initial]]+listeInventaire[[#This Row],[Entrées]]-listeInventaire[[#This Row],[Sorties]]</f>
        <v>0</v>
      </c>
      <c r="L13" s="43">
        <f>IFERROR((VLOOKUP(listeInventaire[Référence],listeMarchandises[],8,FALSE)+SUMIF(listeEntrees[Référence],listeInventaire[Référence],listeEntrees[Total]))/((VLOOKUP(listeInventaire[Référence],listeMarchandises[],6,FALSE)+SUMIF(listeEntrees[Référence],listeInventaire[Référence],listeEntrees[Quantité]))),  0)</f>
        <v>0</v>
      </c>
      <c r="M13" s="43">
        <f>listeInventaire[[#This Row],[CUMP]]*listeInventaire[[#This Row],[Stock final]]</f>
        <v>0</v>
      </c>
      <c r="N13" s="36" t="str">
        <f>IF(listeInventaire[[#This Row],[Stock final]]&gt;listeInventaire[[#This Row],[Seuil d''alerte]],"Stock normal",IF(listeInventaire[[#This Row],[Stock final]]=0,"Non disponible","Stock faible"))</f>
        <v>Non disponible</v>
      </c>
    </row>
    <row r="14" spans="1:22" ht="18" customHeight="1" x14ac:dyDescent="0.3">
      <c r="B14" s="31"/>
      <c r="C14" s="38" t="s">
        <v>29</v>
      </c>
      <c r="D14" s="40" t="str">
        <f>VLOOKUP(listeInventaire[[#This Row],[Référence]],listeMarchandises[],2,FALSE)</f>
        <v>PLAYSTATION PS5</v>
      </c>
      <c r="E14" s="34" t="str">
        <f>VLOOKUP(listeInventaire[[#This Row],[Référence]],listeMarchandises[],3,FALSE)</f>
        <v>Consoles</v>
      </c>
      <c r="F14" s="35" t="str">
        <f>VLOOKUP(listeInventaire[[#This Row],[Référence]],listeMarchandises[],4,FALSE)</f>
        <v>1 unité</v>
      </c>
      <c r="G14" s="38">
        <f>VLOOKUP(listeInventaire[[#This Row],[Référence]],listeMarchandises[],5,FALSE)</f>
        <v>10</v>
      </c>
      <c r="H14" s="38">
        <f>VLOOKUP(listeInventaire[[#This Row],[Référence]],listeMarchandises[],6,FALSE)</f>
        <v>3</v>
      </c>
      <c r="I14" s="41">
        <f>SUMIF(listeEntrees[Référence],listeInventaire[Référence],listeEntrees[Quantité])</f>
        <v>0</v>
      </c>
      <c r="J14" s="43">
        <f>SUMIF(listeSortie[Référence],listeInventaire[Référence],listeSortie[Quantité])</f>
        <v>0</v>
      </c>
      <c r="K14" s="43">
        <f>listeInventaire[[#This Row],[Stock initial]]+listeInventaire[[#This Row],[Entrées]]-listeInventaire[[#This Row],[Sorties]]</f>
        <v>3</v>
      </c>
      <c r="L14" s="43">
        <f>IFERROR((VLOOKUP(listeInventaire[Référence],listeMarchandises[],8,FALSE)+SUMIF(listeEntrees[Référence],listeInventaire[Référence],listeEntrees[Total]))/((VLOOKUP(listeInventaire[Référence],listeMarchandises[],6,FALSE)+SUMIF(listeEntrees[Référence],listeInventaire[Référence],listeEntrees[Quantité]))),  0)</f>
        <v>750</v>
      </c>
      <c r="M14" s="43">
        <f>listeInventaire[[#This Row],[CUMP]]*listeInventaire[[#This Row],[Stock final]]</f>
        <v>2250</v>
      </c>
      <c r="N14" s="36" t="str">
        <f>IF(listeInventaire[[#This Row],[Stock final]]&gt;listeInventaire[[#This Row],[Seuil d''alerte]],"Stock normal",IF(listeInventaire[[#This Row],[Stock final]]=0,"Non disponible","Stock faible"))</f>
        <v>Stock faible</v>
      </c>
    </row>
    <row r="15" spans="1:22" ht="18" customHeight="1" x14ac:dyDescent="0.3">
      <c r="C15" s="39" t="s">
        <v>32</v>
      </c>
      <c r="D15" s="40" t="str">
        <f>VLOOKUP(listeInventaire[[#This Row],[Référence]],listeMarchandises[],2,FALSE)</f>
        <v>NINTENDO SWITCH</v>
      </c>
      <c r="E15" s="54" t="str">
        <f>VLOOKUP(listeInventaire[[#This Row],[Référence]],listeMarchandises[],3,FALSE)</f>
        <v>Consoles</v>
      </c>
      <c r="F15" s="29" t="str">
        <f>VLOOKUP(listeInventaire[[#This Row],[Référence]],listeMarchandises[],4,FALSE)</f>
        <v>1 unité</v>
      </c>
      <c r="G15" s="38">
        <f>VLOOKUP(listeInventaire[[#This Row],[Référence]],listeMarchandises[],5,FALSE)</f>
        <v>10</v>
      </c>
      <c r="H15" s="39">
        <f>VLOOKUP(listeInventaire[[#This Row],[Référence]],listeMarchandises[],6,FALSE)</f>
        <v>6</v>
      </c>
      <c r="I15" s="42">
        <f>SUMIF(listeEntrees[Référence],listeInventaire[Référence],listeEntrees[Quantité])</f>
        <v>0</v>
      </c>
      <c r="J15" s="44">
        <f>SUMIF(listeSortie[Référence],listeInventaire[Référence],listeSortie[Quantité])</f>
        <v>0</v>
      </c>
      <c r="K15" s="43">
        <f>listeInventaire[[#This Row],[Stock initial]]+listeInventaire[[#This Row],[Entrées]]-listeInventaire[[#This Row],[Sorties]]</f>
        <v>6</v>
      </c>
      <c r="L15" s="43">
        <f>IFERROR((VLOOKUP(listeInventaire[Référence],listeMarchandises[],8,FALSE)+SUMIF(listeEntrees[Référence],listeInventaire[Référence],listeEntrees[Total]))/((VLOOKUP(listeInventaire[Référence],listeMarchandises[],6,FALSE)+SUMIF(listeEntrees[Référence],listeInventaire[Référence],listeEntrees[Quantité]))),  0)</f>
        <v>400</v>
      </c>
      <c r="M15" s="43">
        <f>listeInventaire[[#This Row],[CUMP]]*listeInventaire[[#This Row],[Stock final]]</f>
        <v>2400</v>
      </c>
      <c r="N15" s="26" t="str">
        <f>IF(listeInventaire[[#This Row],[Stock final]]&gt;listeInventaire[[#This Row],[Seuil d''alerte]],"Stock normal",IF(listeInventaire[[#This Row],[Stock final]]=0,"Non disponible","Stock faible"))</f>
        <v>Stock faible</v>
      </c>
    </row>
    <row r="16" spans="1:22" x14ac:dyDescent="0.3">
      <c r="D16" s="40"/>
      <c r="G16" s="38"/>
    </row>
    <row r="17" spans="4:7" x14ac:dyDescent="0.3">
      <c r="D17" s="52"/>
      <c r="G17" s="38"/>
    </row>
  </sheetData>
  <mergeCells count="1">
    <mergeCell ref="C3:F3"/>
  </mergeCells>
  <conditionalFormatting sqref="N5:N15">
    <cfRule type="containsText" dxfId="2" priority="1" operator="containsText" text="Non disponible">
      <formula>NOT(ISERROR(SEARCH("Non disponible",N5)))</formula>
    </cfRule>
    <cfRule type="containsText" dxfId="1" priority="2" operator="containsText" text="Stock faible">
      <formula>NOT(ISERROR(SEARCH("Stock faible",N5)))</formula>
    </cfRule>
    <cfRule type="containsText" dxfId="0" priority="3" operator="containsText" text="Stock normal">
      <formula>NOT(ISERROR(SEARCH("Stock normal",N5)))</formula>
    </cfRule>
  </conditionalFormatting>
  <dataValidations count="1">
    <dataValidation type="date" operator="greaterThan" allowBlank="1" showInputMessage="1" showErrorMessage="1" errorTitle="Date incorrecte" error="Veuillez saisir une date correcte" sqref="D9:D14" xr:uid="{07E7AF94-0949-4AA5-A3B8-2D9F2A6D93BD}">
      <formula1>45591</formula1>
    </dataValidation>
  </dataValidations>
  <pageMargins left="0.7" right="0.7" top="0.75" bottom="0.75" header="0.3" footer="0.3"/>
  <pageSetup paperSize="9" orientation="portrait" r:id="rId1"/>
  <ignoredErrors>
    <ignoredError sqref="D14:D15 D9:D13" listDataValidation="1"/>
  </ignoredError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Operation</vt:lpstr>
      <vt:lpstr>Marchandises</vt:lpstr>
      <vt:lpstr>Entrées</vt:lpstr>
      <vt:lpstr>Sorties</vt:lpstr>
      <vt:lpstr>Inventaire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MOULOLO</dc:creator>
  <cp:lastModifiedBy>MOULOLO</cp:lastModifiedBy>
  <dcterms:created xsi:type="dcterms:W3CDTF">2024-10-24T20:31:47Z</dcterms:created>
  <dcterms:modified xsi:type="dcterms:W3CDTF">2024-11-01T18:38:50Z</dcterms:modified>
</cp:coreProperties>
</file>